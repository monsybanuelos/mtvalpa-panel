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Presupuesto" sheetId="2" state="visible" r:id="rId2"/>
    <sheet name="Invitados" sheetId="3" state="visible" r:id="rId3"/>
    <sheet name="Mesas" sheetId="4" state="visible" r:id="rId4"/>
    <sheet name="Menú" sheetId="5" state="visible" r:id="rId5"/>
    <sheet name="Proveedores" sheetId="6" state="visible" r:id="rId6"/>
    <sheet name="Tareas" sheetId="7" state="visible" r:id="rId7"/>
    <sheet name="Horario" sheetId="8" state="visible" r:id="rId8"/>
    <sheet name="Guía" sheetId="9" state="visible" r:id="rId9"/>
    <sheet name="Listas" sheetId="10" state="hidden" r:id="rId10"/>
  </sheets>
  <definedNames>
    <definedName name="FechaFiesta">Inicio!$B$6</definedName>
    <definedName name="InvitadosPrevistos">Inicio!$B$11</definedName>
    <definedName name="PresupuestoTotal">Inicio!$B$12</definedName>
    <definedName name="PorcentajeReserva">Inicio!$B$14</definedName>
    <definedName name="PersonasConfirmadas">Inicio!$E$6</definedName>
    <definedName name="_xlnm._FilterDatabase" localSheetId="1" hidden="1">'Presupuesto'!$A$7:$M$53</definedName>
    <definedName name="_xlnm.Print_Titles" localSheetId="1">'Presupuesto'!$1:$7</definedName>
    <definedName name="_xlnm._FilterDatabase" localSheetId="2" hidden="1">'Invitados'!$A$7:$O$107</definedName>
    <definedName name="_xlnm.Print_Titles" localSheetId="2">'Invitados'!$1:$7</definedName>
    <definedName name="_xlnm._FilterDatabase" localSheetId="3" hidden="1">'Mesas'!$A$7:$G$27</definedName>
    <definedName name="_xlnm.Print_Titles" localSheetId="3">'Mesas'!$1:$7</definedName>
    <definedName name="_xlnm._FilterDatabase" localSheetId="4" hidden="1">'Menú'!$A$7:$F$27</definedName>
    <definedName name="_xlnm.Print_Titles" localSheetId="4">'Menú'!$1:$7</definedName>
    <definedName name="_xlnm._FilterDatabase" localSheetId="5" hidden="1">'Proveedores'!$A$7:$M$34</definedName>
    <definedName name="_xlnm.Print_Titles" localSheetId="5">'Proveedores'!$1:$7</definedName>
    <definedName name="_xlnm._FilterDatabase" localSheetId="6" hidden="1">'Tareas'!$A$7:$H$49</definedName>
    <definedName name="_xlnm.Print_Titles" localSheetId="6">'Tareas'!$1:$7</definedName>
    <definedName name="_xlnm._FilterDatabase" localSheetId="7" hidden="1">'Horario'!$A$7:$H$23</definedName>
    <definedName name="_xlnm.Print_Titles" localSheetId="7">'Horario'!$1:$7</definedName>
  </definedNames>
  <calcPr calcId="124519" calcMode="auto" fullCalcOnLoad="1"/>
</workbook>
</file>

<file path=xl/styles.xml><?xml version="1.0" encoding="utf-8"?>
<styleSheet xmlns="http://schemas.openxmlformats.org/spreadsheetml/2006/main">
  <numFmts count="3">
    <numFmt numFmtId="164" formatCode="DD/MM/YYYY"/>
    <numFmt numFmtId="165" formatCode="HH:MM"/>
    <numFmt numFmtId="166" formatCode="0.0%"/>
  </numFmts>
  <fonts count="19">
    <font>
      <name val="Calibri"/>
      <family val="2"/>
      <color theme="1"/>
      <sz val="11"/>
      <scheme val="minor"/>
    </font>
    <font>
      <name val="Calibri"/>
      <color rgb="006F645C"/>
      <sz val="11"/>
    </font>
    <font>
      <name val="Calibri"/>
      <b val="1"/>
      <color rgb="006B2D3C"/>
      <sz val="10"/>
    </font>
    <font>
      <name val="Calibri"/>
      <color rgb="001F1A17"/>
      <sz val="11"/>
    </font>
    <font>
      <name val="Calibri"/>
      <b val="1"/>
      <color rgb="00FFFFFF"/>
      <sz val="20"/>
    </font>
    <font>
      <name val="Calibri"/>
      <b val="1"/>
      <color rgb="006B2D3C"/>
      <sz val="12"/>
    </font>
    <font>
      <name val="Calibri"/>
      <b val="1"/>
      <color rgb="001F1A17"/>
      <sz val="16"/>
    </font>
    <font>
      <name val="Calibri"/>
      <color rgb="006F645C"/>
      <sz val="10"/>
    </font>
    <font>
      <name val="Calibri"/>
      <b val="1"/>
      <color rgb="006B2D3C"/>
      <sz val="11"/>
    </font>
    <font>
      <name val="Calibri"/>
      <b val="1"/>
      <color rgb="001F1A17"/>
      <sz val="14"/>
    </font>
    <font>
      <name val="Calibri"/>
      <b val="1"/>
      <color rgb="006B2D3C"/>
      <sz val="20"/>
    </font>
    <font>
      <name val="Calibri"/>
      <color rgb="001F1A17"/>
      <sz val="16"/>
    </font>
    <font>
      <name val="Calibri"/>
      <color rgb="001F1A17"/>
      <sz val="14"/>
    </font>
    <font>
      <name val="Calibri"/>
      <b val="1"/>
      <color rgb="001F1A17"/>
      <sz val="20"/>
    </font>
    <font>
      <name val="Calibri"/>
      <b val="1"/>
      <color rgb="001F1A17"/>
      <sz val="12"/>
    </font>
    <font>
      <name val="Calibri"/>
      <b val="1"/>
      <color rgb="00FFFFFF"/>
      <sz val="10"/>
    </font>
    <font>
      <name val="Calibri"/>
      <b val="1"/>
      <color rgb="001F1A17"/>
      <sz val="11"/>
    </font>
    <font>
      <name val="Calibri"/>
      <b val="1"/>
      <color rgb="006B2D3C"/>
      <sz val="14"/>
    </font>
    <font>
      <name val="Calibri"/>
      <color rgb="001F1A17"/>
      <sz val="12"/>
    </font>
  </fonts>
  <fills count="10">
    <fill>
      <patternFill/>
    </fill>
    <fill>
      <patternFill patternType="gray125"/>
    </fill>
    <fill>
      <patternFill patternType="solid">
        <fgColor rgb="006B2D3C"/>
      </patternFill>
    </fill>
    <fill>
      <patternFill patternType="solid">
        <fgColor rgb="00F6EDE8"/>
      </patternFill>
    </fill>
    <fill>
      <patternFill patternType="solid">
        <fgColor rgb="00FBF7F2"/>
      </patternFill>
    </fill>
    <fill>
      <patternFill patternType="solid">
        <fgColor rgb="00F3E6D8"/>
      </patternFill>
    </fill>
    <fill>
      <patternFill patternType="solid">
        <fgColor rgb="00FFFCF8"/>
      </patternFill>
    </fill>
    <fill>
      <patternFill patternType="solid">
        <fgColor rgb="00F4F0EA"/>
      </patternFill>
    </fill>
    <fill>
      <patternFill patternType="solid">
        <fgColor rgb="00F8F1E3"/>
      </patternFill>
    </fill>
    <fill>
      <patternFill patternType="solid">
        <fgColor rgb="00FFFFFF"/>
      </patternFill>
    </fill>
  </fills>
  <borders count="11">
    <border>
      <left/>
      <right/>
      <top/>
      <bottom/>
      <diagonal/>
    </border>
    <border>
      <left style="thin">
        <color rgb="00E0D4C8"/>
      </left>
      <right style="thin">
        <color rgb="00E0D4C8"/>
      </right>
      <top style="thin">
        <color rgb="00E0D4C8"/>
      </top>
      <bottom style="thin">
        <color rgb="00E0D4C8"/>
      </bottom>
    </border>
    <border>
      <left style="thin">
        <color rgb="00E0D4C8"/>
      </left>
      <right/>
      <top style="thin">
        <color rgb="00E0D4C8"/>
      </top>
      <bottom/>
    </border>
    <border>
      <left/>
      <right style="thin">
        <color rgb="00E0D4C8"/>
      </right>
      <top style="thin">
        <color rgb="00E0D4C8"/>
      </top>
      <bottom/>
    </border>
    <border>
      <left style="thin">
        <color rgb="00E0D4C8"/>
      </left>
      <right/>
      <top/>
      <bottom/>
    </border>
    <border>
      <left style="thin">
        <color rgb="00E0D4C8"/>
      </left>
      <right/>
      <top/>
      <bottom style="thin">
        <color rgb="00E0D4C8"/>
      </bottom>
    </border>
    <border>
      <left/>
      <right style="thin">
        <color rgb="00E0D4C8"/>
      </right>
      <top/>
      <bottom style="thin">
        <color rgb="00E0D4C8"/>
      </bottom>
    </border>
    <border>
      <left/>
      <right style="thin">
        <color rgb="00E0D4C8"/>
      </right>
      <top/>
      <bottom/>
    </border>
    <border>
      <left style="thin">
        <color rgb="006B2D3C"/>
      </left>
      <right style="thin">
        <color rgb="006B2D3C"/>
      </right>
      <top style="thin">
        <color rgb="006B2D3C"/>
      </top>
      <bottom style="thin">
        <color rgb="006B2D3C"/>
      </bottom>
    </border>
    <border>
      <left style="thin">
        <color rgb="00EFE6DE"/>
      </left>
      <right style="thin">
        <color rgb="00EFE6DE"/>
      </right>
      <top style="thin">
        <color rgb="00EFE6DE"/>
      </top>
      <bottom style="thin">
        <color rgb="00EFE6DE"/>
      </bottom>
    </border>
    <border/>
  </borders>
  <cellStyleXfs count="1">
    <xf numFmtId="0" fontId="0" fillId="0" borderId="0"/>
  </cellStyleXfs>
  <cellXfs count="61">
    <xf numFmtId="0" fontId="0" fillId="0" borderId="0" pivotButton="0" quotePrefix="0" xfId="0"/>
    <xf numFmtId="0" fontId="4" fillId="2" borderId="0" applyAlignment="1" pivotButton="0" quotePrefix="0" xfId="0">
      <alignment horizontal="left" vertical="center" indent="1"/>
    </xf>
    <xf numFmtId="0" fontId="0" fillId="2" borderId="0" pivotButton="0" quotePrefix="0" xfId="0"/>
    <xf numFmtId="0" fontId="1" fillId="3" borderId="0" applyAlignment="1" pivotButton="0" quotePrefix="0" xfId="0">
      <alignment horizontal="left" vertical="center" wrapText="1" indent="1"/>
    </xf>
    <xf numFmtId="0" fontId="0" fillId="3" borderId="0" pivotButton="0" quotePrefix="0" xfId="0"/>
    <xf numFmtId="0" fontId="5" fillId="5" borderId="2" applyAlignment="1" pivotButton="0" quotePrefix="0" xfId="0">
      <alignment horizontal="left" vertical="center" indent="1"/>
    </xf>
    <xf numFmtId="0" fontId="0" fillId="5" borderId="3" pivotButton="0" quotePrefix="0" xfId="0"/>
    <xf numFmtId="0" fontId="1" fillId="4" borderId="4" applyAlignment="1" pivotButton="0" quotePrefix="0" xfId="0">
      <alignment horizontal="left" vertical="center" indent="1"/>
    </xf>
    <xf numFmtId="0" fontId="3" fillId="6" borderId="1" applyAlignment="1" pivotButton="0" quotePrefix="0" xfId="0">
      <alignment horizontal="left" vertical="center" indent="1"/>
    </xf>
    <xf numFmtId="3" fontId="6" fillId="4" borderId="7" applyAlignment="1" pivotButton="0" quotePrefix="0" xfId="0">
      <alignment horizontal="right" vertical="center"/>
    </xf>
    <xf numFmtId="4" fontId="11" fillId="4" borderId="7" applyAlignment="1" pivotButton="0" quotePrefix="0" xfId="0">
      <alignment horizontal="right" vertical="center"/>
    </xf>
    <xf numFmtId="164" fontId="3" fillId="6" borderId="1" applyAlignment="1" pivotButton="0" quotePrefix="0" xfId="0">
      <alignment horizontal="right" vertical="center"/>
    </xf>
    <xf numFmtId="4" fontId="12" fillId="4" borderId="7" applyAlignment="1" pivotButton="0" quotePrefix="0" xfId="0">
      <alignment horizontal="right" vertical="center"/>
    </xf>
    <xf numFmtId="4" fontId="6" fillId="4" borderId="7" applyAlignment="1" pivotButton="0" quotePrefix="0" xfId="0">
      <alignment horizontal="right" vertical="center"/>
    </xf>
    <xf numFmtId="0" fontId="8" fillId="4" borderId="4" applyAlignment="1" pivotButton="0" quotePrefix="0" xfId="0">
      <alignment horizontal="left" vertical="center" indent="1"/>
    </xf>
    <xf numFmtId="0" fontId="0" fillId="4" borderId="7" pivotButton="0" quotePrefix="0" xfId="0"/>
    <xf numFmtId="165" fontId="3" fillId="6" borderId="1" applyAlignment="1" pivotButton="0" quotePrefix="0" xfId="0">
      <alignment horizontal="right" vertical="center"/>
    </xf>
    <xf numFmtId="0" fontId="9" fillId="4" borderId="7" applyAlignment="1" pivotButton="0" quotePrefix="0" xfId="0">
      <alignment horizontal="right" vertical="center"/>
    </xf>
    <xf numFmtId="3" fontId="3" fillId="6" borderId="1" applyAlignment="1" pivotButton="0" quotePrefix="0" xfId="0">
      <alignment horizontal="right" vertical="center"/>
    </xf>
    <xf numFmtId="9" fontId="9" fillId="4" borderId="7" applyAlignment="1" pivotButton="0" quotePrefix="0" xfId="0">
      <alignment horizontal="right" vertical="center"/>
    </xf>
    <xf numFmtId="4" fontId="13" fillId="4" borderId="7" applyAlignment="1" pivotButton="0" quotePrefix="0" xfId="0">
      <alignment horizontal="right" vertical="center"/>
    </xf>
    <xf numFmtId="4" fontId="3" fillId="6" borderId="1" applyAlignment="1" pivotButton="0" quotePrefix="0" xfId="0">
      <alignment horizontal="right" vertical="center"/>
    </xf>
    <xf numFmtId="3" fontId="10" fillId="4" borderId="7" applyAlignment="1" pivotButton="0" quotePrefix="0" xfId="0">
      <alignment horizontal="right" vertical="center"/>
    </xf>
    <xf numFmtId="0" fontId="0" fillId="4" borderId="4" pivotButton="0" quotePrefix="0" xfId="0"/>
    <xf numFmtId="0" fontId="14" fillId="4" borderId="7" applyAlignment="1" pivotButton="0" quotePrefix="0" xfId="0">
      <alignment horizontal="left" vertical="center" wrapText="1"/>
    </xf>
    <xf numFmtId="9" fontId="3" fillId="6" borderId="1" applyAlignment="1" pivotButton="0" quotePrefix="0" xfId="0">
      <alignment horizontal="right" vertical="center"/>
    </xf>
    <xf numFmtId="49" fontId="3" fillId="6" borderId="1" applyAlignment="1" pivotButton="0" quotePrefix="0" xfId="0">
      <alignment horizontal="left" vertical="center" indent="1"/>
    </xf>
    <xf numFmtId="0" fontId="7" fillId="4" borderId="4" applyAlignment="1" pivotButton="0" quotePrefix="0" xfId="0">
      <alignment horizontal="left" vertical="center" wrapText="1" indent="1"/>
    </xf>
    <xf numFmtId="0" fontId="0" fillId="0" borderId="7" pivotButton="0" quotePrefix="0" xfId="0"/>
    <xf numFmtId="0" fontId="0" fillId="4" borderId="5" pivotButton="0" quotePrefix="0" xfId="0"/>
    <xf numFmtId="0" fontId="0" fillId="4" borderId="6" pivotButton="0" quotePrefix="0" xfId="0"/>
    <xf numFmtId="0" fontId="0" fillId="0" borderId="5" pivotButton="0" quotePrefix="0" xfId="0"/>
    <xf numFmtId="0" fontId="0" fillId="0" borderId="6" pivotButton="0" quotePrefix="0" xfId="0"/>
    <xf numFmtId="0" fontId="7" fillId="4" borderId="5" applyAlignment="1" pivotButton="0" quotePrefix="0" xfId="0">
      <alignment horizontal="left" vertical="center" indent="1"/>
    </xf>
    <xf numFmtId="0" fontId="7" fillId="0" borderId="0" applyAlignment="1" pivotButton="0" quotePrefix="0" xfId="0">
      <alignment horizontal="left" vertical="center" wrapText="1"/>
    </xf>
    <xf numFmtId="0" fontId="7" fillId="3" borderId="0" applyAlignment="1" pivotButton="0" quotePrefix="0" xfId="0">
      <alignment horizontal="left" vertical="center" indent="1"/>
    </xf>
    <xf numFmtId="4" fontId="9" fillId="3" borderId="0" applyAlignment="1" pivotButton="0" quotePrefix="0" xfId="0">
      <alignment horizontal="right" vertical="center"/>
    </xf>
    <xf numFmtId="4" fontId="0" fillId="3" borderId="0" pivotButton="0" quotePrefix="0" xfId="0"/>
    <xf numFmtId="0" fontId="8" fillId="0" borderId="0" applyAlignment="1" pivotButton="0" quotePrefix="0" xfId="0">
      <alignment horizontal="left" vertical="center" indent="1"/>
    </xf>
    <xf numFmtId="0" fontId="15" fillId="2" borderId="8" applyAlignment="1" pivotButton="0" quotePrefix="0" xfId="0">
      <alignment horizontal="center" vertical="center" wrapText="1"/>
    </xf>
    <xf numFmtId="4" fontId="3" fillId="7" borderId="9" applyAlignment="1" pivotButton="0" quotePrefix="0" xfId="0">
      <alignment horizontal="right" vertical="center"/>
    </xf>
    <xf numFmtId="0" fontId="3" fillId="0" borderId="9" applyAlignment="1" pivotButton="0" quotePrefix="0" xfId="0">
      <alignment horizontal="left" vertical="center" indent="1"/>
    </xf>
    <xf numFmtId="166" fontId="3" fillId="7" borderId="9" applyAlignment="1" pivotButton="0" quotePrefix="0" xfId="0">
      <alignment horizontal="right" vertical="center"/>
    </xf>
    <xf numFmtId="0" fontId="16" fillId="0" borderId="9" applyAlignment="1" pivotButton="0" quotePrefix="0" xfId="0">
      <alignment horizontal="left" vertical="center" indent="1"/>
    </xf>
    <xf numFmtId="0" fontId="8" fillId="5" borderId="1" applyAlignment="1" pivotButton="0" quotePrefix="0" xfId="0">
      <alignment horizontal="left" vertical="center" indent="1"/>
    </xf>
    <xf numFmtId="0" fontId="8" fillId="5" borderId="1" applyAlignment="1" pivotButton="0" quotePrefix="0" xfId="0">
      <alignment horizontal="right" vertical="center"/>
    </xf>
    <xf numFmtId="4" fontId="5" fillId="5" borderId="1" applyAlignment="1" pivotButton="0" quotePrefix="0" xfId="0">
      <alignment horizontal="right" vertical="center"/>
    </xf>
    <xf numFmtId="0" fontId="3" fillId="8" borderId="1" applyAlignment="1" pivotButton="0" quotePrefix="0" xfId="0">
      <alignment horizontal="left" vertical="center" indent="1"/>
    </xf>
    <xf numFmtId="3" fontId="3" fillId="7" borderId="9" applyAlignment="1" pivotButton="0" quotePrefix="0" xfId="0">
      <alignment horizontal="right" vertical="center"/>
    </xf>
    <xf numFmtId="0" fontId="7" fillId="3" borderId="10" applyAlignment="1" pivotButton="0" quotePrefix="0" xfId="0">
      <alignment horizontal="left" vertical="center" indent="1"/>
    </xf>
    <xf numFmtId="3" fontId="9" fillId="3" borderId="10" applyAlignment="1" pivotButton="0" quotePrefix="0" xfId="0">
      <alignment horizontal="right" vertical="center"/>
    </xf>
    <xf numFmtId="0" fontId="0" fillId="3" borderId="10" pivotButton="0" quotePrefix="0" xfId="0"/>
    <xf numFmtId="0" fontId="3" fillId="9" borderId="1" applyAlignment="1" pivotButton="0" quotePrefix="0" xfId="0">
      <alignment horizontal="left" vertical="center" indent="1"/>
    </xf>
    <xf numFmtId="164" fontId="3" fillId="7" borderId="9" applyAlignment="1" pivotButton="0" quotePrefix="0" xfId="0">
      <alignment horizontal="right" vertical="center"/>
    </xf>
    <xf numFmtId="0" fontId="3" fillId="3" borderId="1" applyAlignment="1" pivotButton="0" quotePrefix="0" xfId="0">
      <alignment horizontal="left" vertical="center" indent="1"/>
    </xf>
    <xf numFmtId="165" fontId="3" fillId="7" borderId="9" applyAlignment="1" pivotButton="0" quotePrefix="0" xfId="0">
      <alignment horizontal="right" vertical="center"/>
    </xf>
    <xf numFmtId="0" fontId="3" fillId="6" borderId="1" applyAlignment="1" pivotButton="0" quotePrefix="0" xfId="0">
      <alignment horizontal="center" vertical="center"/>
    </xf>
    <xf numFmtId="0" fontId="17" fillId="0" borderId="0" applyAlignment="1" pivotButton="0" quotePrefix="0" xfId="0">
      <alignment horizontal="left" vertical="center" indent="1"/>
    </xf>
    <xf numFmtId="0" fontId="18" fillId="0" borderId="0" applyAlignment="1" pivotButton="0" quotePrefix="0" xfId="0">
      <alignment horizontal="left" vertical="top" wrapText="1" indent="1"/>
    </xf>
    <xf numFmtId="0" fontId="2" fillId="0" borderId="0" pivotButton="0" quotePrefix="0" xfId="0"/>
    <xf numFmtId="0" fontId="3" fillId="0" borderId="0" pivotButton="0" quotePrefix="0" xfId="0"/>
  </cellXfs>
  <cellStyles count="1">
    <cellStyle name="Normal" xfId="0" builtinId="0" hidden="0"/>
  </cellStyles>
  <dxfs count="13">
    <dxf>
      <font>
        <name val="Calibri"/>
        <color rgb="00245C45"/>
        <sz val="10"/>
      </font>
      <fill>
        <patternFill patternType="solid">
          <fgColor rgb="00E5F0EB"/>
        </patternFill>
      </fill>
    </dxf>
    <dxf>
      <font>
        <name val="Calibri"/>
        <color rgb="007A5B2E"/>
        <sz val="10"/>
      </font>
      <fill>
        <patternFill patternType="solid">
          <fgColor rgb="00F8F1E3"/>
        </patternFill>
      </fill>
    </dxf>
    <dxf>
      <font>
        <name val="Calibri"/>
        <b val="1"/>
        <color rgb="008C3A3A"/>
        <sz val="20"/>
      </font>
      <fill>
        <patternFill patternType="solid">
          <fgColor rgb="00F8E8E6"/>
        </patternFill>
      </fill>
    </dxf>
    <dxf>
      <font>
        <name val="Calibri"/>
        <b val="1"/>
        <color rgb="00245C45"/>
        <sz val="12"/>
      </font>
      <fill>
        <patternFill patternType="solid">
          <fgColor rgb="00E5F0EB"/>
        </patternFill>
      </fill>
    </dxf>
    <dxf>
      <font>
        <name val="Calibri"/>
        <b val="1"/>
        <color rgb="007A5B2E"/>
        <sz val="12"/>
      </font>
      <fill>
        <patternFill patternType="solid">
          <fgColor rgb="00F8F1E3"/>
        </patternFill>
      </fill>
    </dxf>
    <dxf>
      <font>
        <name val="Calibri"/>
        <b val="1"/>
        <color rgb="008C3A3A"/>
        <sz val="12"/>
      </font>
      <fill>
        <patternFill patternType="solid">
          <fgColor rgb="00F8E8E6"/>
        </patternFill>
      </fill>
    </dxf>
    <dxf>
      <font>
        <name val="Calibri"/>
        <color rgb="007A5B2E"/>
        <sz val="12"/>
      </font>
      <fill>
        <patternFill patternType="solid">
          <fgColor rgb="00F8F1E3"/>
        </patternFill>
      </fill>
    </dxf>
    <dxf>
      <font>
        <name val="Calibri"/>
        <color rgb="00245C45"/>
        <sz val="11"/>
      </font>
      <fill>
        <patternFill patternType="solid">
          <fgColor rgb="00E5F0EB"/>
        </patternFill>
      </fill>
    </dxf>
    <dxf>
      <font>
        <name val="Calibri"/>
        <color rgb="007A5B2E"/>
        <sz val="11"/>
      </font>
      <fill>
        <patternFill patternType="solid">
          <fgColor rgb="00F8F1E3"/>
        </patternFill>
      </fill>
    </dxf>
    <dxf>
      <font>
        <name val="Calibri"/>
        <color rgb="006F645C"/>
        <sz val="11"/>
      </font>
      <fill>
        <patternFill patternType="solid">
          <fgColor rgb="00F0EBE6"/>
        </patternFill>
      </fill>
    </dxf>
    <dxf>
      <font>
        <name val="Calibri"/>
        <color rgb="008C3A3A"/>
        <sz val="11"/>
      </font>
      <fill>
        <patternFill patternType="solid">
          <fgColor rgb="00F8E8E6"/>
        </patternFill>
      </fill>
    </dxf>
    <dxf>
      <font>
        <name val="Calibri"/>
        <b val="1"/>
        <color rgb="008C3A3A"/>
        <sz val="11"/>
      </font>
      <fill>
        <patternFill patternType="solid">
          <fgColor rgb="00F8E8E6"/>
        </patternFill>
      </fill>
    </dxf>
    <dxf>
      <font>
        <name val="Calibri"/>
        <color rgb="001F1A17"/>
        <sz val="11"/>
      </font>
      <fill>
        <patternFill patternType="solid">
          <f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Estimado y pagado por categoría</a:t>
            </a:r>
          </a:p>
        </rich>
      </tx>
    </title>
    <plotArea>
      <barChart>
        <barDir val="bar"/>
        <grouping val="clustered"/>
        <ser>
          <idx val="0"/>
          <order val="0"/>
          <tx>
            <strRef>
              <f>'Presupuesto'!P7</f>
            </strRef>
          </tx>
          <spPr>
            <a:solidFill>
              <a:srgbClr val="6B2D3C"/>
            </a:solidFill>
            <a:ln>
              <a:solidFill>
                <a:srgbClr val="6B2D3C"/>
              </a:solidFill>
              <a:prstDash val="solid"/>
            </a:ln>
          </spPr>
          <cat>
            <numRef>
              <f>'Presupuesto'!$O$8:$O$24</f>
            </numRef>
          </cat>
          <val>
            <numRef>
              <f>'Presupuesto'!$P$8:$P$24</f>
            </numRef>
          </val>
        </ser>
        <ser>
          <idx val="1"/>
          <order val="1"/>
          <tx>
            <strRef>
              <f>'Presupuesto'!R7</f>
            </strRef>
          </tx>
          <spPr>
            <a:solidFill>
              <a:srgbClr val="245C45"/>
            </a:solidFill>
            <a:ln>
              <a:solidFill>
                <a:srgbClr val="245C45"/>
              </a:solidFill>
              <a:prstDash val="solid"/>
            </a:ln>
          </spPr>
          <cat>
            <numRef>
              <f>'Presupuesto'!$O$8:$O$24</f>
            </numRef>
          </cat>
          <val>
            <numRef>
              <f>'Presupuesto'!$R$8:$R$24</f>
            </numRef>
          </val>
        </ser>
        <gapWidth val="70"/>
        <overlap val="-8"/>
        <axId val="10"/>
        <axId val="100"/>
      </barChart>
      <catAx>
        <axId val="10"/>
        <scaling>
          <orientation val="minMax"/>
        </scaling>
        <axPos val="l"/>
        <title>
          <tx>
            <rich>
              <a:bodyPr/>
              <a:p>
                <a:pPr>
                  <a:defRPr/>
                </a:pPr>
                <a:r>
                  <a:t>Monto</a:t>
                </a:r>
              </a:p>
            </rich>
          </tx>
        </title>
        <numFmt formatCode="#,##0" sourceLinked="0"/>
        <majorTickMark val="none"/>
        <minorTickMark val="none"/>
        <crossAx val="100"/>
        <lblOffset val="100"/>
      </catAx>
      <valAx>
        <axId val="100"/>
        <scaling>
          <orientation val="maxMin"/>
        </scaling>
        <axPos val="l"/>
        <majorGridlines/>
        <majorTickMark val="none"/>
        <minorTickMark val="none"/>
        <crossAx val="10"/>
      </valAx>
    </plotArea>
    <legend>
      <legendPos val="b"/>
      <overlay val="0"/>
    </legend>
    <plotVisOnly val="1"/>
    <dispBlanksAs val="gap"/>
  </chart>
</chartSpace>
</file>

<file path=xl/comments/comment1.xml><?xml version="1.0" encoding="utf-8"?>
<comments xmlns="http://schemas.openxmlformats.org/spreadsheetml/2006/main">
  <authors>
    <author>Plan</author>
  </authors>
  <commentList>
    <comment ref="B6" authorId="0" shapeId="0">
      <text>
        <t>Escríbela como día/mes/año. Las tareas calculan su fecha con esta celda.</t>
      </text>
    </comment>
    <comment ref="B11" authorId="0" shapeId="0">
      <text>
        <t>Es el número que usan los gastos marcados por persona, cuando dejas Ajuste vacío.</t>
      </text>
    </comment>
    <comment ref="B12" authorId="0" shapeId="0">
      <text>
        <t>Tope de lo que quieres gastar, en la moneda de la celda de abajo.</t>
      </text>
    </comment>
    <comment ref="B14" authorId="0" shapeId="0">
      <text>
        <t>Porcentaje del presupuesto que se aparta para imprevistos. 10% es un buen inicio.</t>
      </text>
    </comment>
    <comment ref="B15" authorId="0" shapeId="0">
      <text>
        <t>Alguien que no sea de la pareja y pueda resolver pagos o cambios ese día.</t>
      </text>
    </comment>
  </commentList>
</comments>
</file>

<file path=xl/comments/comment2.xml><?xml version="1.0" encoding="utf-8"?>
<comments xmlns="http://schemas.openxmlformats.org/spreadsheetml/2006/main">
  <authors>
    <author>Plan</author>
  </authors>
  <commentList>
    <comment ref="D7" authorId="0" shapeId="0">
      <text>
        <t>Opcional. Si escribes un número, se usa en lugar de los invitados previstos.</t>
      </text>
    </comment>
    <comment ref="E7" authorId="0" shapeId="0">
      <text>
        <t>Esta columna se calcula. No hace falta escribirla.</t>
      </text>
    </comment>
    <comment ref="J7" authorId="0" shapeId="0">
      <text>
        <t>Si hay monto contratado, el saldo es contratado menos pagado. Si no, es estimado menos pagado.</t>
      </text>
    </comment>
    <comment ref="F8" authorId="0" shapeId="0">
      <text>
        <t>Ejemplo: si el banquete cuesta 850 por persona, escríbelo aquí. La cantidad ya sale de Inicio.</t>
      </text>
    </comment>
  </commentList>
</comments>
</file>

<file path=xl/comments/comment3.xml><?xml version="1.0" encoding="utf-8"?>
<comments xmlns="http://schemas.openxmlformats.org/spreadsheetml/2006/main">
  <authors>
    <author>Plan</author>
  </authors>
  <commentList>
    <comment ref="L7" authorId="0" shapeId="0">
      <text>
        <t>Confirmado copia el total. Rechazado queda en cero. Pendiente se deja vacío.</t>
      </text>
    </comment>
  </commentList>
</comments>
</file>

<file path=xl/comments/comment4.xml><?xml version="1.0" encoding="utf-8"?>
<comments xmlns="http://schemas.openxmlformats.org/spreadsheetml/2006/main">
  <authors>
    <author>Plan</author>
  </authors>
  <commentList>
    <comment ref="D7" authorId="0" shapeId="0">
      <text>
        <t>Opcional. Si lo llenas, sustituye el cálculo de porciones.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6B2D3C"/>
    <outlinePr summaryBelow="1" summaryRight="1"/>
    <pageSetUpPr fitToPage="1"/>
  </sheetPr>
  <dimension ref="A1:H38"/>
  <sheetViews>
    <sheetView showGridLines="0" zoomScale="110" workbookViewId="0">
      <pane ySplit="3" topLeftCell="A4" activePane="bottomLeft" state="frozen"/>
      <selection pane="bottomLeft" activeCell="B5" sqref="B5"/>
    </sheetView>
  </sheetViews>
  <sheetFormatPr baseColWidth="8" defaultRowHeight="18"/>
  <cols>
    <col width="28" customWidth="1" min="1" max="1"/>
    <col width="34" customWidth="1" min="2" max="2"/>
    <col width="3" customWidth="1" min="3" max="3"/>
    <col width="24" customWidth="1" min="4" max="4"/>
    <col width="16" customWidth="1" min="5" max="5"/>
    <col width="3" customWidth="1" min="6" max="6"/>
    <col width="26" customWidth="1" min="7" max="7"/>
    <col width="32" customWidth="1" min="8" max="8"/>
  </cols>
  <sheetData>
    <row r="1" ht="36" customHeight="1">
      <c r="A1" s="1" t="inlineStr">
        <is>
          <t>Plan de la fiesta de boda</t>
        </is>
      </c>
      <c r="B1" s="2" t="n"/>
      <c r="C1" s="2" t="n"/>
      <c r="D1" s="2" t="n"/>
      <c r="E1" s="2" t="n"/>
      <c r="F1" s="2" t="n"/>
      <c r="G1" s="2" t="n"/>
      <c r="H1" s="2" t="n"/>
    </row>
    <row r="2" ht="32" customHeight="1">
      <c r="A2" s="3" t="inlineStr">
        <is>
          <t>Llena las celdas claras. Los totales salen solos. Si aparecen invitados, son cuatro filas de ejemplo: bórralas en Invitados.</t>
        </is>
      </c>
      <c r="B2" s="4" t="n"/>
      <c r="C2" s="4" t="n"/>
      <c r="D2" s="4" t="n"/>
      <c r="E2" s="4" t="n"/>
      <c r="F2" s="4" t="n"/>
      <c r="G2" s="4" t="n"/>
      <c r="H2" s="4" t="n"/>
    </row>
    <row r="3" ht="10" customHeight="1"/>
    <row r="4" ht="24" customHeight="1">
      <c r="A4" s="5" t="inlineStr">
        <is>
          <t>Datos de la fiesta</t>
        </is>
      </c>
      <c r="B4" s="6" t="n"/>
      <c r="D4" s="5" t="inlineStr">
        <is>
          <t>Invitados y avance</t>
        </is>
      </c>
      <c r="E4" s="6" t="n"/>
      <c r="G4" s="5" t="inlineStr">
        <is>
          <t>Presupuesto</t>
        </is>
      </c>
      <c r="H4" s="6" t="n"/>
    </row>
    <row r="5" ht="22" customHeight="1">
      <c r="A5" s="7" t="inlineStr">
        <is>
          <t>Pareja</t>
        </is>
      </c>
      <c r="B5" s="8" t="n"/>
      <c r="D5" s="7" t="inlineStr">
        <is>
          <t>En la lista</t>
        </is>
      </c>
      <c r="E5" s="9">
        <f>SUM(Invitados!I8:I107)</f>
        <v/>
      </c>
      <c r="G5" s="7" t="inlineStr">
        <is>
          <t>Presupuesto</t>
        </is>
      </c>
      <c r="H5" s="10">
        <f>B12</f>
        <v/>
      </c>
    </row>
    <row r="6" ht="22" customHeight="1">
      <c r="A6" s="7" t="inlineStr">
        <is>
          <t>Fecha de la fiesta</t>
        </is>
      </c>
      <c r="B6" s="11" t="n"/>
      <c r="D6" s="7" t="inlineStr">
        <is>
          <t>Confirmadas</t>
        </is>
      </c>
      <c r="E6" s="9">
        <f>SUMIF(Invitados!K8:K107,"Confirmado",Invitados!I8:I107)</f>
        <v/>
      </c>
      <c r="G6" s="7" t="inlineStr">
        <is>
          <t>Conceptos</t>
        </is>
      </c>
      <c r="H6" s="12">
        <f>Presupuesto!G54</f>
        <v/>
      </c>
    </row>
    <row r="7" ht="22" customHeight="1">
      <c r="A7" s="7" t="inlineStr">
        <is>
          <t>Ciudad</t>
        </is>
      </c>
      <c r="B7" s="8" t="n"/>
      <c r="D7" s="7" t="inlineStr">
        <is>
          <t>Sin respuesta</t>
        </is>
      </c>
      <c r="E7" s="9">
        <f>SUMIF(Invitados!K8:K107,"Pendiente",Invitados!I8:I107)</f>
        <v/>
      </c>
      <c r="G7" s="7">
        <f>IF(B14="","Reserva","Reserva ("&amp;TEXT(B14,"0%")&amp;")")</f>
        <v/>
      </c>
      <c r="H7" s="12">
        <f>IF(B12="","",B12*IF(B14="",0,B14))</f>
        <v/>
      </c>
    </row>
    <row r="8" ht="22" customHeight="1">
      <c r="A8" s="7" t="inlineStr">
        <is>
          <t>Lugar de la ceremonia</t>
        </is>
      </c>
      <c r="B8" s="8" t="n"/>
      <c r="D8" s="7" t="inlineStr">
        <is>
          <t>No asisten</t>
        </is>
      </c>
      <c r="E8" s="9">
        <f>SUMIF(Invitados!K8:K107,"Rechazado",Invitados!I8:I107)</f>
        <v/>
      </c>
      <c r="G8" s="7" t="inlineStr">
        <is>
          <t>Estimado con reserva</t>
        </is>
      </c>
      <c r="H8" s="13">
        <f>N(H6)+N(H7)</f>
        <v/>
      </c>
    </row>
    <row r="9" ht="22" customHeight="1">
      <c r="A9" s="7" t="inlineStr">
        <is>
          <t>Lugar de la recepción</t>
        </is>
      </c>
      <c r="B9" s="8" t="n"/>
      <c r="D9" s="14" t="inlineStr">
        <is>
          <t>Tareas</t>
        </is>
      </c>
      <c r="E9" s="15" t="n"/>
      <c r="G9" s="7" t="inlineStr">
        <is>
          <t>Pagado</t>
        </is>
      </c>
      <c r="H9" s="12">
        <f>Presupuesto!I54</f>
        <v/>
      </c>
    </row>
    <row r="10" ht="22" customHeight="1">
      <c r="A10" s="7" t="inlineStr">
        <is>
          <t>Hora de inicio</t>
        </is>
      </c>
      <c r="B10" s="16" t="n"/>
      <c r="D10" s="7" t="inlineStr">
        <is>
          <t>Tareas hechas</t>
        </is>
      </c>
      <c r="E10" s="17">
        <f>IF(COUNTA(Tareas!B8:B49)=0,"",COUNTIF(Tareas!G8:G49,"Hecho")&amp;" de "&amp;COUNTA(Tareas!B8:B49))</f>
        <v/>
      </c>
      <c r="G10" s="7" t="inlineStr">
        <is>
          <t>Por pagar</t>
        </is>
      </c>
      <c r="H10" s="12">
        <f>Presupuesto!J54</f>
        <v/>
      </c>
    </row>
    <row r="11" ht="24" customHeight="1">
      <c r="A11" s="7" t="inlineStr">
        <is>
          <t>Invitados previstos</t>
        </is>
      </c>
      <c r="B11" s="18" t="n"/>
      <c r="D11" s="7" t="inlineStr">
        <is>
          <t>Avance</t>
        </is>
      </c>
      <c r="E11" s="19">
        <f>IF(COUNTA(Tareas!B8:B49)=0,"",COUNTIF(Tareas!G8:G49,"Hecho")/COUNTA(Tareas!B8:B49))</f>
        <v/>
      </c>
      <c r="G11" s="7" t="inlineStr">
        <is>
          <t>Disponible</t>
        </is>
      </c>
      <c r="H11" s="20">
        <f>IF(B12="","",B12-N(H8))</f>
        <v/>
      </c>
    </row>
    <row r="12" ht="28" customHeight="1">
      <c r="A12" s="7" t="inlineStr">
        <is>
          <t>Presupuesto total</t>
        </is>
      </c>
      <c r="B12" s="21" t="n"/>
      <c r="D12" s="7" t="inlineStr">
        <is>
          <t>Días restantes</t>
        </is>
      </c>
      <c r="E12" s="22">
        <f>IF(B6="","",B6-TODAY())</f>
        <v/>
      </c>
      <c r="G12" s="7" t="inlineStr">
        <is>
          <t>Por persona, sin reserva</t>
        </is>
      </c>
      <c r="H12" s="12">
        <f>IF(OR(B11="",B11=0,H6=0),"",H6/B11)</f>
        <v/>
      </c>
    </row>
    <row r="13" ht="22" customHeight="1">
      <c r="A13" s="7" t="inlineStr">
        <is>
          <t>Moneda</t>
        </is>
      </c>
      <c r="B13" s="8" t="inlineStr">
        <is>
          <t>MXN</t>
        </is>
      </c>
      <c r="D13" s="23" t="n"/>
      <c r="E13" s="15" t="n"/>
      <c r="G13" s="7" t="inlineStr">
        <is>
          <t>Estado</t>
        </is>
      </c>
      <c r="H13" s="24">
        <f>IF(B12="","Falta el presupuesto",IF(H8&gt;B12,"Por encima del presupuesto",IF(H8&gt;=B12*0.9,"Cerca del límite","Dentro del presupuesto")))</f>
        <v/>
      </c>
    </row>
    <row r="14" ht="22" customHeight="1">
      <c r="A14" s="7" t="inlineStr">
        <is>
          <t>Reserva para imprevistos</t>
        </is>
      </c>
      <c r="B14" s="25" t="n">
        <v>0.1</v>
      </c>
      <c r="D14" s="23" t="n"/>
      <c r="E14" s="15" t="n"/>
      <c r="G14" s="23" t="n"/>
      <c r="H14" s="15" t="n"/>
    </row>
    <row r="15" ht="22" customHeight="1">
      <c r="A15" s="7" t="inlineStr">
        <is>
          <t>Persona para imprevistos</t>
        </is>
      </c>
      <c r="B15" s="8" t="n"/>
      <c r="D15" s="23" t="n"/>
      <c r="E15" s="15" t="n"/>
      <c r="G15" s="23" t="n"/>
      <c r="H15" s="15" t="n"/>
    </row>
    <row r="16" ht="18" customHeight="1">
      <c r="A16" s="7" t="inlineStr">
        <is>
          <t>Teléfono de esa persona</t>
        </is>
      </c>
      <c r="B16" s="26" t="n"/>
      <c r="D16" s="27">
        <f>IF(E5=0,"",IF(E5=E6+E7+E8,"La lista cuadra","Revisa filas sin RSVP o sin número de personas"))</f>
        <v/>
      </c>
      <c r="E16" s="28" t="n"/>
      <c r="G16" s="23" t="n"/>
      <c r="H16" s="15" t="n"/>
    </row>
    <row r="17" ht="18" customHeight="1">
      <c r="A17" s="29" t="n"/>
      <c r="B17" s="30" t="n"/>
      <c r="D17" s="31" t="n"/>
      <c r="E17" s="32" t="n"/>
      <c r="G17" s="33">
        <f>IF(B13="","","Montos en "&amp;B13)</f>
        <v/>
      </c>
      <c r="H17" s="32" t="n"/>
    </row>
    <row r="38" ht="28" customHeight="1">
      <c r="A38" s="34" t="inlineStr">
        <is>
          <t>Fuente: hoja Presupuesto. El estimado incluye la reserva para imprevistos. Pagado es lo registrado en cada concepto, sin contar la reserva.</t>
        </is>
      </c>
    </row>
  </sheetData>
  <mergeCells count="8">
    <mergeCell ref="A4:B4"/>
    <mergeCell ref="G4:H4"/>
    <mergeCell ref="D16:E17"/>
    <mergeCell ref="A38:H38"/>
    <mergeCell ref="A2:H2"/>
    <mergeCell ref="D4:E4"/>
    <mergeCell ref="A1:H1"/>
    <mergeCell ref="G17:H17"/>
  </mergeCells>
  <conditionalFormatting sqref="D16">
    <cfRule type="expression" priority="1" dxfId="0">
      <formula>D16="La lista cuadra"</formula>
    </cfRule>
    <cfRule type="expression" priority="2" dxfId="1">
      <formula>AND(E5&gt;0,D16&lt;&gt;"La lista cuadra")</formula>
    </cfRule>
  </conditionalFormatting>
  <conditionalFormatting sqref="E11">
    <cfRule type="dataBar" priority="3">
      <dataBar showValue="1">
        <cfvo type="num" val="0"/>
        <cfvo type="num" val="1"/>
        <color rgb="006B2D3C"/>
      </dataBar>
    </cfRule>
  </conditionalFormatting>
  <conditionalFormatting sqref="H11">
    <cfRule type="expression" priority="4" dxfId="2" stopIfTrue="1">
      <formula>AND(B12&lt;&gt;"",H11&lt;0)</formula>
    </cfRule>
  </conditionalFormatting>
  <conditionalFormatting sqref="H13">
    <cfRule type="expression" priority="5" dxfId="3">
      <formula>H13="Dentro del presupuesto"</formula>
    </cfRule>
    <cfRule type="expression" priority="6" dxfId="4">
      <formula>H13="Cerca del límite"</formula>
    </cfRule>
    <cfRule type="expression" priority="7" dxfId="5">
      <formula>H13="Por encima del presupuesto"</formula>
    </cfRule>
    <cfRule type="expression" priority="8" dxfId="6">
      <formula>H13="Falta el presupuesto"</formula>
    </cfRule>
  </conditionalFormatting>
  <dataValidations count="4">
    <dataValidation sqref="B11" showDropDown="0" showInputMessage="0" showErrorMessage="0" allowBlank="1" errorTitle="Invitados" error="Escribe el número de personas que esperas, o deja la celda vacía." type="whole" operator="greaterThanOrEqual">
      <formula1>0</formula1>
    </dataValidation>
    <dataValidation sqref="B12" showDropDown="0" showInputMessage="0" showErrorMessage="0" allowBlank="1" errorTitle="Presupuesto" error="Escribe un monto igual o mayor que cero." type="decimal" operator="greaterThanOrEqual">
      <formula1>0</formula1>
    </dataValidation>
    <dataValidation sqref="B14" showDropDown="0" showInputMessage="0" showErrorMessage="0" allowBlank="1" errorTitle="Reserva" error="Usa un porcentaje entre 0% y 50%." type="decimal" operator="between">
      <formula1>0</formula1>
      <formula2>0.5</formula2>
    </dataValidation>
    <dataValidation sqref="B6" showDropDown="0" showInputMessage="0" showErrorMessage="0" allowBlank="1" errorTitle="Fecha" error="Escribe una fecha, por ejemplo 20/06/2027." type="date" operator="greaterThan">
      <formula1>DATE(2000,1,1)</formula1>
    </dataValidation>
  </dataValidations>
  <printOptions horizontalCentered="1"/>
  <pageMargins left="0.5" right="0.5" top="0.55" bottom="0.5" header="0.2" footer="0.25"/>
  <pageSetup orientation="landscape" paperSize="9" fitToHeight="1" fitToWidth="1"/>
  <headerFooter>
    <oddHeader/>
    <oddFooter>&amp;LPlan de la fiesta de boda&amp;RPágina &amp;P de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008C6A3D"/>
    <outlinePr summaryBelow="1" summaryRight="1"/>
    <pageSetUpPr fitToPage="1"/>
  </sheetPr>
  <dimension ref="A1:R54"/>
  <sheetViews>
    <sheetView showGridLines="0" zoomScale="110" workbookViewId="0">
      <pane ySplit="7" topLeftCell="A8" activePane="bottomLeft" state="frozen"/>
      <selection pane="bottomLeft" activeCell="A1" sqref="A1"/>
    </sheetView>
  </sheetViews>
  <sheetFormatPr baseColWidth="8" defaultRowHeight="18"/>
  <cols>
    <col width="24" customWidth="1" min="1" max="1"/>
    <col width="42" customWidth="1" min="2" max="2"/>
    <col width="14" customWidth="1" min="3" max="3"/>
    <col width="12" customWidth="1" min="4" max="4"/>
    <col width="12" customWidth="1" min="5" max="5"/>
    <col width="16" customWidth="1" min="6" max="6"/>
    <col width="16" customWidth="1" min="7" max="7"/>
    <col width="16" customWidth="1" min="8" max="8"/>
    <col width="14" customWidth="1" min="9" max="9"/>
    <col width="14" customWidth="1" min="10" max="10"/>
    <col width="18" customWidth="1" min="11" max="11"/>
    <col width="16" customWidth="1" min="12" max="12"/>
    <col width="36" customWidth="1" min="13" max="13"/>
    <col width="3" customWidth="1" min="14" max="14"/>
    <col width="24" customWidth="1" min="15" max="15"/>
    <col width="16" customWidth="1" min="16" max="16"/>
    <col width="18" customWidth="1" min="17" max="17"/>
    <col width="14" customWidth="1" min="18" max="18"/>
  </cols>
  <sheetData>
    <row r="1" ht="36" customHeight="1">
      <c r="A1" s="1" t="inlineStr">
        <is>
          <t>Presupuesto</t>
        </is>
      </c>
      <c r="B1" s="2" t="n"/>
      <c r="C1" s="2" t="n"/>
      <c r="D1" s="2" t="n"/>
      <c r="E1" s="2" t="n"/>
      <c r="F1" s="2" t="n"/>
      <c r="G1" s="2" t="n"/>
      <c r="H1" s="2" t="n"/>
      <c r="I1" s="2" t="n"/>
      <c r="J1" s="2" t="n"/>
      <c r="K1" s="2" t="n"/>
      <c r="L1" s="2" t="n"/>
      <c r="M1" s="2" t="n"/>
    </row>
    <row r="2" ht="34" customHeight="1">
      <c r="A2" s="3" t="inlineStr">
        <is>
          <t>Escribe costos en las celdas claras. Si el gasto es por persona y Ajuste está vacío, la cantidad son los invitados previstos. El saldo usa Contratado; si está vacío, usa el estimado.</t>
        </is>
      </c>
      <c r="B2" s="4" t="n"/>
      <c r="C2" s="4" t="n"/>
      <c r="D2" s="4" t="n"/>
      <c r="E2" s="4" t="n"/>
      <c r="F2" s="4" t="n"/>
      <c r="G2" s="4" t="n"/>
      <c r="H2" s="4" t="n"/>
      <c r="I2" s="4" t="n"/>
      <c r="J2" s="4" t="n"/>
      <c r="K2" s="4" t="n"/>
      <c r="L2" s="4" t="n"/>
      <c r="M2" s="4" t="n"/>
    </row>
    <row r="3" ht="10" customHeight="1"/>
    <row r="4" ht="24" customHeight="1">
      <c r="A4" s="35" t="inlineStr">
        <is>
          <t>Conceptos</t>
        </is>
      </c>
      <c r="B4" s="4" t="n"/>
      <c r="C4" s="36">
        <f>G54</f>
        <v/>
      </c>
      <c r="D4" s="37" t="n"/>
      <c r="E4" s="35" t="inlineStr">
        <is>
          <t>Contratado</t>
        </is>
      </c>
      <c r="F4" s="4" t="n"/>
      <c r="G4" s="36">
        <f>H54</f>
        <v/>
      </c>
      <c r="H4" s="37" t="n"/>
      <c r="I4" s="35" t="inlineStr">
        <is>
          <t>Pagado</t>
        </is>
      </c>
      <c r="J4" s="4" t="n"/>
      <c r="K4" s="36">
        <f>I54</f>
        <v/>
      </c>
      <c r="L4" s="37" t="n"/>
    </row>
    <row r="5" ht="24" customHeight="1">
      <c r="A5" s="35" t="inlineStr">
        <is>
          <t>Saldo de conceptos</t>
        </is>
      </c>
      <c r="B5" s="4" t="n"/>
      <c r="C5" s="36">
        <f>J54</f>
        <v/>
      </c>
      <c r="D5" s="37" t="n"/>
      <c r="E5" s="35" t="inlineStr">
        <is>
          <t>Reserva</t>
        </is>
      </c>
      <c r="F5" s="4" t="n"/>
      <c r="G5" s="36">
        <f>Inicio!H7</f>
        <v/>
      </c>
      <c r="H5" s="37" t="n"/>
      <c r="I5" s="35" t="inlineStr">
        <is>
          <t>Estimado con reserva</t>
        </is>
      </c>
      <c r="J5" s="4" t="n"/>
      <c r="K5" s="36">
        <f>N(G54)+N(Inicio!H7)</f>
        <v/>
      </c>
      <c r="L5" s="37" t="n"/>
    </row>
    <row r="6" ht="20" customHeight="1">
      <c r="O6" s="38" t="inlineStr">
        <is>
          <t>Resumen por categoría</t>
        </is>
      </c>
    </row>
    <row r="7" ht="32" customHeight="1">
      <c r="A7" s="39" t="inlineStr">
        <is>
          <t>Categoría</t>
        </is>
      </c>
      <c r="B7" s="39" t="inlineStr">
        <is>
          <t>Concepto</t>
        </is>
      </c>
      <c r="C7" s="39" t="inlineStr">
        <is>
          <t>Por persona</t>
        </is>
      </c>
      <c r="D7" s="39" t="inlineStr">
        <is>
          <t>Ajuste</t>
        </is>
      </c>
      <c r="E7" s="39" t="inlineStr">
        <is>
          <t>Cantidad</t>
        </is>
      </c>
      <c r="F7" s="39" t="inlineStr">
        <is>
          <t>Costo unitario</t>
        </is>
      </c>
      <c r="G7" s="39" t="inlineStr">
        <is>
          <t>Estimado</t>
        </is>
      </c>
      <c r="H7" s="39" t="inlineStr">
        <is>
          <t>Contratado</t>
        </is>
      </c>
      <c r="I7" s="39" t="inlineStr">
        <is>
          <t>Pagado</t>
        </is>
      </c>
      <c r="J7" s="39" t="inlineStr">
        <is>
          <t>Saldo</t>
        </is>
      </c>
      <c r="K7" s="39" t="inlineStr">
        <is>
          <t>Estado</t>
        </is>
      </c>
      <c r="L7" s="39" t="inlineStr">
        <is>
          <t>Fecha de pago</t>
        </is>
      </c>
      <c r="M7" s="39" t="inlineStr">
        <is>
          <t>Notas</t>
        </is>
      </c>
      <c r="O7" s="39" t="inlineStr">
        <is>
          <t>Categoría</t>
        </is>
      </c>
      <c r="P7" s="39" t="inlineStr">
        <is>
          <t>Estimado</t>
        </is>
      </c>
      <c r="Q7" s="39" t="inlineStr">
        <is>
          <t>% del presupuesto</t>
        </is>
      </c>
      <c r="R7" s="39" t="inlineStr">
        <is>
          <t>Pagado</t>
        </is>
      </c>
    </row>
    <row r="8" ht="20" customHeight="1">
      <c r="A8" s="8" t="inlineStr">
        <is>
          <t>Lugar</t>
        </is>
      </c>
      <c r="B8" s="8" t="inlineStr">
        <is>
          <t>Renta del salón o jardín</t>
        </is>
      </c>
      <c r="C8" s="8" t="inlineStr">
        <is>
          <t>No</t>
        </is>
      </c>
      <c r="D8" s="21" t="n"/>
      <c r="E8" s="40">
        <f>IF(D8&lt;&gt;"",D8,IF(C8="Sí",IF(InvitadosPrevistos="", "",InvitadosPrevistos),""))</f>
        <v/>
      </c>
      <c r="F8" s="21" t="n"/>
      <c r="G8" s="40">
        <f>IF(OR(E8="",F8=""),"",E8*F8)</f>
        <v/>
      </c>
      <c r="H8" s="21" t="n"/>
      <c r="I8" s="21" t="n"/>
      <c r="J8" s="40">
        <f>IF(AND(G8="",H8="",I8=""),"",IF(H8="",N(G8),N(H8))-N(I8))</f>
        <v/>
      </c>
      <c r="K8" s="8" t="n"/>
      <c r="L8" s="11" t="n"/>
      <c r="M8" s="8" t="n"/>
      <c r="O8" s="41" t="inlineStr">
        <is>
          <t>Lugar</t>
        </is>
      </c>
      <c r="P8" s="40">
        <f>SUMIF($A$8:$A$53,O8,$G$8:$G$53)</f>
        <v/>
      </c>
      <c r="Q8" s="42">
        <f>IF(OR(PresupuestoTotal="",PresupuestoTotal=0),"",P8/PresupuestoTotal)</f>
        <v/>
      </c>
      <c r="R8" s="40">
        <f>SUMIF($A$8:$A$53,O8,$I$8:$I$53)</f>
        <v/>
      </c>
    </row>
    <row r="9" ht="20" customHeight="1">
      <c r="A9" s="8" t="inlineStr">
        <is>
          <t>Lugar</t>
        </is>
      </c>
      <c r="B9" s="8" t="inlineStr">
        <is>
          <t>Hora extra</t>
        </is>
      </c>
      <c r="C9" s="8" t="inlineStr">
        <is>
          <t>No</t>
        </is>
      </c>
      <c r="D9" s="21" t="n"/>
      <c r="E9" s="40">
        <f>IF(D9&lt;&gt;"",D9,IF(C9="Sí",IF(InvitadosPrevistos="", "",InvitadosPrevistos),""))</f>
        <v/>
      </c>
      <c r="F9" s="21" t="n"/>
      <c r="G9" s="40">
        <f>IF(OR(E9="",F9=""),"",E9*F9)</f>
        <v/>
      </c>
      <c r="H9" s="21" t="n"/>
      <c r="I9" s="21" t="n"/>
      <c r="J9" s="40">
        <f>IF(AND(G9="",H9="",I9=""),"",IF(H9="",N(G9),N(H9))-N(I9))</f>
        <v/>
      </c>
      <c r="K9" s="8" t="n"/>
      <c r="L9" s="11" t="n"/>
      <c r="M9" s="8" t="n"/>
      <c r="O9" s="41" t="inlineStr">
        <is>
          <t>Banquete</t>
        </is>
      </c>
      <c r="P9" s="40">
        <f>SUMIF($A$8:$A$53,O9,$G$8:$G$53)</f>
        <v/>
      </c>
      <c r="Q9" s="42">
        <f>IF(OR(PresupuestoTotal="",PresupuestoTotal=0),"",P9/PresupuestoTotal)</f>
        <v/>
      </c>
      <c r="R9" s="40">
        <f>SUMIF($A$8:$A$53,O9,$I$8:$I$53)</f>
        <v/>
      </c>
    </row>
    <row r="10" ht="20" customHeight="1">
      <c r="A10" s="8" t="inlineStr">
        <is>
          <t>Lugar</t>
        </is>
      </c>
      <c r="B10" s="8" t="inlineStr">
        <is>
          <t>Permiso o cargo del lugar</t>
        </is>
      </c>
      <c r="C10" s="8" t="inlineStr">
        <is>
          <t>No</t>
        </is>
      </c>
      <c r="D10" s="21" t="n"/>
      <c r="E10" s="40">
        <f>IF(D10&lt;&gt;"",D10,IF(C10="Sí",IF(InvitadosPrevistos="", "",InvitadosPrevistos),""))</f>
        <v/>
      </c>
      <c r="F10" s="21" t="n"/>
      <c r="G10" s="40">
        <f>IF(OR(E10="",F10=""),"",E10*F10)</f>
        <v/>
      </c>
      <c r="H10" s="21" t="n"/>
      <c r="I10" s="21" t="n"/>
      <c r="J10" s="40">
        <f>IF(AND(G10="",H10="",I10=""),"",IF(H10="",N(G10),N(H10))-N(I10))</f>
        <v/>
      </c>
      <c r="K10" s="8" t="n"/>
      <c r="L10" s="11" t="n"/>
      <c r="M10" s="8" t="n"/>
      <c r="O10" s="41" t="inlineStr">
        <is>
          <t>Bebidas</t>
        </is>
      </c>
      <c r="P10" s="40">
        <f>SUMIF($A$8:$A$53,O10,$G$8:$G$53)</f>
        <v/>
      </c>
      <c r="Q10" s="42">
        <f>IF(OR(PresupuestoTotal="",PresupuestoTotal=0),"",P10/PresupuestoTotal)</f>
        <v/>
      </c>
      <c r="R10" s="40">
        <f>SUMIF($A$8:$A$53,O10,$I$8:$I$53)</f>
        <v/>
      </c>
    </row>
    <row r="11" ht="20" customHeight="1">
      <c r="A11" s="8" t="inlineStr">
        <is>
          <t>Banquete</t>
        </is>
      </c>
      <c r="B11" s="8" t="inlineStr">
        <is>
          <t>Alimentos por persona</t>
        </is>
      </c>
      <c r="C11" s="8" t="inlineStr">
        <is>
          <t>Sí</t>
        </is>
      </c>
      <c r="D11" s="21" t="n"/>
      <c r="E11" s="40">
        <f>IF(D11&lt;&gt;"",D11,IF(C11="Sí",IF(InvitadosPrevistos="", "",InvitadosPrevistos),""))</f>
        <v/>
      </c>
      <c r="F11" s="21" t="n"/>
      <c r="G11" s="40">
        <f>IF(OR(E11="",F11=""),"",E11*F11)</f>
        <v/>
      </c>
      <c r="H11" s="21" t="n"/>
      <c r="I11" s="21" t="n"/>
      <c r="J11" s="40">
        <f>IF(AND(G11="",H11="",I11=""),"",IF(H11="",N(G11),N(H11))-N(I11))</f>
        <v/>
      </c>
      <c r="K11" s="8" t="n"/>
      <c r="L11" s="11" t="n"/>
      <c r="M11" s="8" t="n"/>
      <c r="O11" s="41" t="inlineStr">
        <is>
          <t>Pastel</t>
        </is>
      </c>
      <c r="P11" s="40">
        <f>SUMIF($A$8:$A$53,O11,$G$8:$G$53)</f>
        <v/>
      </c>
      <c r="Q11" s="42">
        <f>IF(OR(PresupuestoTotal="",PresupuestoTotal=0),"",P11/PresupuestoTotal)</f>
        <v/>
      </c>
      <c r="R11" s="40">
        <f>SUMIF($A$8:$A$53,O11,$I$8:$I$53)</f>
        <v/>
      </c>
    </row>
    <row r="12" ht="20" customHeight="1">
      <c r="A12" s="8" t="inlineStr">
        <is>
          <t>Banquete</t>
        </is>
      </c>
      <c r="B12" s="8" t="inlineStr">
        <is>
          <t>Cóctel o mesa de bocadillos</t>
        </is>
      </c>
      <c r="C12" s="8" t="inlineStr">
        <is>
          <t>No</t>
        </is>
      </c>
      <c r="D12" s="21" t="n"/>
      <c r="E12" s="40">
        <f>IF(D12&lt;&gt;"",D12,IF(C12="Sí",IF(InvitadosPrevistos="", "",InvitadosPrevistos),""))</f>
        <v/>
      </c>
      <c r="F12" s="21" t="n"/>
      <c r="G12" s="40">
        <f>IF(OR(E12="",F12=""),"",E12*F12)</f>
        <v/>
      </c>
      <c r="H12" s="21" t="n"/>
      <c r="I12" s="21" t="n"/>
      <c r="J12" s="40">
        <f>IF(AND(G12="",H12="",I12=""),"",IF(H12="",N(G12),N(H12))-N(I12))</f>
        <v/>
      </c>
      <c r="K12" s="8" t="n"/>
      <c r="L12" s="11" t="n"/>
      <c r="M12" s="8" t="n"/>
      <c r="O12" s="41" t="inlineStr">
        <is>
          <t>Música</t>
        </is>
      </c>
      <c r="P12" s="40">
        <f>SUMIF($A$8:$A$53,O12,$G$8:$G$53)</f>
        <v/>
      </c>
      <c r="Q12" s="42">
        <f>IF(OR(PresupuestoTotal="",PresupuestoTotal=0),"",P12/PresupuestoTotal)</f>
        <v/>
      </c>
      <c r="R12" s="40">
        <f>SUMIF($A$8:$A$53,O12,$I$8:$I$53)</f>
        <v/>
      </c>
    </row>
    <row r="13" ht="20" customHeight="1">
      <c r="A13" s="8" t="inlineStr">
        <is>
          <t>Banquete</t>
        </is>
      </c>
      <c r="B13" s="8" t="inlineStr">
        <is>
          <t>Personal de servicio</t>
        </is>
      </c>
      <c r="C13" s="8" t="inlineStr">
        <is>
          <t>No</t>
        </is>
      </c>
      <c r="D13" s="21" t="n"/>
      <c r="E13" s="40">
        <f>IF(D13&lt;&gt;"",D13,IF(C13="Sí",IF(InvitadosPrevistos="", "",InvitadosPrevistos),""))</f>
        <v/>
      </c>
      <c r="F13" s="21" t="n"/>
      <c r="G13" s="40">
        <f>IF(OR(E13="",F13=""),"",E13*F13)</f>
        <v/>
      </c>
      <c r="H13" s="21" t="n"/>
      <c r="I13" s="21" t="n"/>
      <c r="J13" s="40">
        <f>IF(AND(G13="",H13="",I13=""),"",IF(H13="",N(G13),N(H13))-N(I13))</f>
        <v/>
      </c>
      <c r="K13" s="8" t="n"/>
      <c r="L13" s="11" t="n"/>
      <c r="M13" s="8" t="n"/>
      <c r="O13" s="41" t="inlineStr">
        <is>
          <t>Foto y video</t>
        </is>
      </c>
      <c r="P13" s="40">
        <f>SUMIF($A$8:$A$53,O13,$G$8:$G$53)</f>
        <v/>
      </c>
      <c r="Q13" s="42">
        <f>IF(OR(PresupuestoTotal="",PresupuestoTotal=0),"",P13/PresupuestoTotal)</f>
        <v/>
      </c>
      <c r="R13" s="40">
        <f>SUMIF($A$8:$A$53,O13,$I$8:$I$53)</f>
        <v/>
      </c>
    </row>
    <row r="14" ht="20" customHeight="1">
      <c r="A14" s="8" t="inlineStr">
        <is>
          <t>Bebidas</t>
        </is>
      </c>
      <c r="B14" s="8" t="inlineStr">
        <is>
          <t>Barra por persona</t>
        </is>
      </c>
      <c r="C14" s="8" t="inlineStr">
        <is>
          <t>Sí</t>
        </is>
      </c>
      <c r="D14" s="21" t="n"/>
      <c r="E14" s="40">
        <f>IF(D14&lt;&gt;"",D14,IF(C14="Sí",IF(InvitadosPrevistos="", "",InvitadosPrevistos),""))</f>
        <v/>
      </c>
      <c r="F14" s="21" t="n"/>
      <c r="G14" s="40">
        <f>IF(OR(E14="",F14=""),"",E14*F14)</f>
        <v/>
      </c>
      <c r="H14" s="21" t="n"/>
      <c r="I14" s="21" t="n"/>
      <c r="J14" s="40">
        <f>IF(AND(G14="",H14="",I14=""),"",IF(H14="",N(G14),N(H14))-N(I14))</f>
        <v/>
      </c>
      <c r="K14" s="8" t="n"/>
      <c r="L14" s="11" t="n"/>
      <c r="M14" s="8" t="n"/>
      <c r="O14" s="41" t="inlineStr">
        <is>
          <t>Flores y decoración</t>
        </is>
      </c>
      <c r="P14" s="40">
        <f>SUMIF($A$8:$A$53,O14,$G$8:$G$53)</f>
        <v/>
      </c>
      <c r="Q14" s="42">
        <f>IF(OR(PresupuestoTotal="",PresupuestoTotal=0),"",P14/PresupuestoTotal)</f>
        <v/>
      </c>
      <c r="R14" s="40">
        <f>SUMIF($A$8:$A$53,O14,$I$8:$I$53)</f>
        <v/>
      </c>
    </row>
    <row r="15" ht="20" customHeight="1">
      <c r="A15" s="8" t="inlineStr">
        <is>
          <t>Bebidas</t>
        </is>
      </c>
      <c r="B15" s="8" t="inlineStr">
        <is>
          <t>Brindis por persona</t>
        </is>
      </c>
      <c r="C15" s="8" t="inlineStr">
        <is>
          <t>Sí</t>
        </is>
      </c>
      <c r="D15" s="21" t="n"/>
      <c r="E15" s="40">
        <f>IF(D15&lt;&gt;"",D15,IF(C15="Sí",IF(InvitadosPrevistos="", "",InvitadosPrevistos),""))</f>
        <v/>
      </c>
      <c r="F15" s="21" t="n"/>
      <c r="G15" s="40">
        <f>IF(OR(E15="",F15=""),"",E15*F15)</f>
        <v/>
      </c>
      <c r="H15" s="21" t="n"/>
      <c r="I15" s="21" t="n"/>
      <c r="J15" s="40">
        <f>IF(AND(G15="",H15="",I15=""),"",IF(H15="",N(G15),N(H15))-N(I15))</f>
        <v/>
      </c>
      <c r="K15" s="8" t="n"/>
      <c r="L15" s="11" t="n"/>
      <c r="M15" s="8" t="n"/>
      <c r="O15" s="41" t="inlineStr">
        <is>
          <t>Invitaciones</t>
        </is>
      </c>
      <c r="P15" s="40">
        <f>SUMIF($A$8:$A$53,O15,$G$8:$G$53)</f>
        <v/>
      </c>
      <c r="Q15" s="42">
        <f>IF(OR(PresupuestoTotal="",PresupuestoTotal=0),"",P15/PresupuestoTotal)</f>
        <v/>
      </c>
      <c r="R15" s="40">
        <f>SUMIF($A$8:$A$53,O15,$I$8:$I$53)</f>
        <v/>
      </c>
    </row>
    <row r="16" ht="20" customHeight="1">
      <c r="A16" s="8" t="inlineStr">
        <is>
          <t>Bebidas</t>
        </is>
      </c>
      <c r="B16" s="8" t="inlineStr">
        <is>
          <t>Hielo, cristalería y barra</t>
        </is>
      </c>
      <c r="C16" s="8" t="inlineStr">
        <is>
          <t>No</t>
        </is>
      </c>
      <c r="D16" s="21" t="n"/>
      <c r="E16" s="40">
        <f>IF(D16&lt;&gt;"",D16,IF(C16="Sí",IF(InvitadosPrevistos="", "",InvitadosPrevistos),""))</f>
        <v/>
      </c>
      <c r="F16" s="21" t="n"/>
      <c r="G16" s="40">
        <f>IF(OR(E16="",F16=""),"",E16*F16)</f>
        <v/>
      </c>
      <c r="H16" s="21" t="n"/>
      <c r="I16" s="21" t="n"/>
      <c r="J16" s="40">
        <f>IF(AND(G16="",H16="",I16=""),"",IF(H16="",N(G16),N(H16))-N(I16))</f>
        <v/>
      </c>
      <c r="K16" s="8" t="n"/>
      <c r="L16" s="11" t="n"/>
      <c r="M16" s="8" t="n"/>
      <c r="O16" s="41" t="inlineStr">
        <is>
          <t>Vestuario</t>
        </is>
      </c>
      <c r="P16" s="40">
        <f>SUMIF($A$8:$A$53,O16,$G$8:$G$53)</f>
        <v/>
      </c>
      <c r="Q16" s="42">
        <f>IF(OR(PresupuestoTotal="",PresupuestoTotal=0),"",P16/PresupuestoTotal)</f>
        <v/>
      </c>
      <c r="R16" s="40">
        <f>SUMIF($A$8:$A$53,O16,$I$8:$I$53)</f>
        <v/>
      </c>
    </row>
    <row r="17" ht="20" customHeight="1">
      <c r="A17" s="8" t="inlineStr">
        <is>
          <t>Pastel</t>
        </is>
      </c>
      <c r="B17" s="8" t="inlineStr">
        <is>
          <t>Pastel</t>
        </is>
      </c>
      <c r="C17" s="8" t="inlineStr">
        <is>
          <t>No</t>
        </is>
      </c>
      <c r="D17" s="21" t="n"/>
      <c r="E17" s="40">
        <f>IF(D17&lt;&gt;"",D17,IF(C17="Sí",IF(InvitadosPrevistos="", "",InvitadosPrevistos),""))</f>
        <v/>
      </c>
      <c r="F17" s="21" t="n"/>
      <c r="G17" s="40">
        <f>IF(OR(E17="",F17=""),"",E17*F17)</f>
        <v/>
      </c>
      <c r="H17" s="21" t="n"/>
      <c r="I17" s="21" t="n"/>
      <c r="J17" s="40">
        <f>IF(AND(G17="",H17="",I17=""),"",IF(H17="",N(G17),N(H17))-N(I17))</f>
        <v/>
      </c>
      <c r="K17" s="8" t="n"/>
      <c r="L17" s="11" t="n"/>
      <c r="M17" s="8" t="n"/>
      <c r="O17" s="41" t="inlineStr">
        <is>
          <t>Belleza</t>
        </is>
      </c>
      <c r="P17" s="40">
        <f>SUMIF($A$8:$A$53,O17,$G$8:$G$53)</f>
        <v/>
      </c>
      <c r="Q17" s="42">
        <f>IF(OR(PresupuestoTotal="",PresupuestoTotal=0),"",P17/PresupuestoTotal)</f>
        <v/>
      </c>
      <c r="R17" s="40">
        <f>SUMIF($A$8:$A$53,O17,$I$8:$I$53)</f>
        <v/>
      </c>
    </row>
    <row r="18" ht="20" customHeight="1">
      <c r="A18" s="8" t="inlineStr">
        <is>
          <t>Pastel</t>
        </is>
      </c>
      <c r="B18" s="8" t="inlineStr">
        <is>
          <t>Mesa de postres</t>
        </is>
      </c>
      <c r="C18" s="8" t="inlineStr">
        <is>
          <t>No</t>
        </is>
      </c>
      <c r="D18" s="21" t="n"/>
      <c r="E18" s="40">
        <f>IF(D18&lt;&gt;"",D18,IF(C18="Sí",IF(InvitadosPrevistos="", "",InvitadosPrevistos),""))</f>
        <v/>
      </c>
      <c r="F18" s="21" t="n"/>
      <c r="G18" s="40">
        <f>IF(OR(E18="",F18=""),"",E18*F18)</f>
        <v/>
      </c>
      <c r="H18" s="21" t="n"/>
      <c r="I18" s="21" t="n"/>
      <c r="J18" s="40">
        <f>IF(AND(G18="",H18="",I18=""),"",IF(H18="",N(G18),N(H18))-N(I18))</f>
        <v/>
      </c>
      <c r="K18" s="8" t="n"/>
      <c r="L18" s="11" t="n"/>
      <c r="M18" s="8" t="n"/>
      <c r="O18" s="41" t="inlineStr">
        <is>
          <t>Transporte</t>
        </is>
      </c>
      <c r="P18" s="40">
        <f>SUMIF($A$8:$A$53,O18,$G$8:$G$53)</f>
        <v/>
      </c>
      <c r="Q18" s="42">
        <f>IF(OR(PresupuestoTotal="",PresupuestoTotal=0),"",P18/PresupuestoTotal)</f>
        <v/>
      </c>
      <c r="R18" s="40">
        <f>SUMIF($A$8:$A$53,O18,$I$8:$I$53)</f>
        <v/>
      </c>
    </row>
    <row r="19" ht="20" customHeight="1">
      <c r="A19" s="8" t="inlineStr">
        <is>
          <t>Música</t>
        </is>
      </c>
      <c r="B19" s="8" t="inlineStr">
        <is>
          <t>DJ, grupo o banda</t>
        </is>
      </c>
      <c r="C19" s="8" t="inlineStr">
        <is>
          <t>No</t>
        </is>
      </c>
      <c r="D19" s="21" t="n"/>
      <c r="E19" s="40">
        <f>IF(D19&lt;&gt;"",D19,IF(C19="Sí",IF(InvitadosPrevistos="", "",InvitadosPrevistos),""))</f>
        <v/>
      </c>
      <c r="F19" s="21" t="n"/>
      <c r="G19" s="40">
        <f>IF(OR(E19="",F19=""),"",E19*F19)</f>
        <v/>
      </c>
      <c r="H19" s="21" t="n"/>
      <c r="I19" s="21" t="n"/>
      <c r="J19" s="40">
        <f>IF(AND(G19="",H19="",I19=""),"",IF(H19="",N(G19),N(H19))-N(I19))</f>
        <v/>
      </c>
      <c r="K19" s="8" t="n"/>
      <c r="L19" s="11" t="n"/>
      <c r="M19" s="8" t="n"/>
      <c r="O19" s="41" t="inlineStr">
        <is>
          <t>Mobiliario</t>
        </is>
      </c>
      <c r="P19" s="40">
        <f>SUMIF($A$8:$A$53,O19,$G$8:$G$53)</f>
        <v/>
      </c>
      <c r="Q19" s="42">
        <f>IF(OR(PresupuestoTotal="",PresupuestoTotal=0),"",P19/PresupuestoTotal)</f>
        <v/>
      </c>
      <c r="R19" s="40">
        <f>SUMIF($A$8:$A$53,O19,$I$8:$I$53)</f>
        <v/>
      </c>
    </row>
    <row r="20" ht="20" customHeight="1">
      <c r="A20" s="8" t="inlineStr">
        <is>
          <t>Música</t>
        </is>
      </c>
      <c r="B20" s="8" t="inlineStr">
        <is>
          <t>Hora loca o animación</t>
        </is>
      </c>
      <c r="C20" s="8" t="inlineStr">
        <is>
          <t>No</t>
        </is>
      </c>
      <c r="D20" s="21" t="n"/>
      <c r="E20" s="40">
        <f>IF(D20&lt;&gt;"",D20,IF(C20="Sí",IF(InvitadosPrevistos="", "",InvitadosPrevistos),""))</f>
        <v/>
      </c>
      <c r="F20" s="21" t="n"/>
      <c r="G20" s="40">
        <f>IF(OR(E20="",F20=""),"",E20*F20)</f>
        <v/>
      </c>
      <c r="H20" s="21" t="n"/>
      <c r="I20" s="21" t="n"/>
      <c r="J20" s="40">
        <f>IF(AND(G20="",H20="",I20=""),"",IF(H20="",N(G20),N(H20))-N(I20))</f>
        <v/>
      </c>
      <c r="K20" s="8" t="n"/>
      <c r="L20" s="11" t="n"/>
      <c r="M20" s="8" t="n"/>
      <c r="O20" s="41" t="inlineStr">
        <is>
          <t>Recuerdos</t>
        </is>
      </c>
      <c r="P20" s="40">
        <f>SUMIF($A$8:$A$53,O20,$G$8:$G$53)</f>
        <v/>
      </c>
      <c r="Q20" s="42">
        <f>IF(OR(PresupuestoTotal="",PresupuestoTotal=0),"",P20/PresupuestoTotal)</f>
        <v/>
      </c>
      <c r="R20" s="40">
        <f>SUMIF($A$8:$A$53,O20,$I$8:$I$53)</f>
        <v/>
      </c>
    </row>
    <row r="21" ht="20" customHeight="1">
      <c r="A21" s="8" t="inlineStr">
        <is>
          <t>Música</t>
        </is>
      </c>
      <c r="B21" s="8" t="inlineStr">
        <is>
          <t>Audio e iluminación</t>
        </is>
      </c>
      <c r="C21" s="8" t="inlineStr">
        <is>
          <t>No</t>
        </is>
      </c>
      <c r="D21" s="21" t="n"/>
      <c r="E21" s="40">
        <f>IF(D21&lt;&gt;"",D21,IF(C21="Sí",IF(InvitadosPrevistos="", "",InvitadosPrevistos),""))</f>
        <v/>
      </c>
      <c r="F21" s="21" t="n"/>
      <c r="G21" s="40">
        <f>IF(OR(E21="",F21=""),"",E21*F21)</f>
        <v/>
      </c>
      <c r="H21" s="21" t="n"/>
      <c r="I21" s="21" t="n"/>
      <c r="J21" s="40">
        <f>IF(AND(G21="",H21="",I21=""),"",IF(H21="",N(G21),N(H21))-N(I21))</f>
        <v/>
      </c>
      <c r="K21" s="8" t="n"/>
      <c r="L21" s="11" t="n"/>
      <c r="M21" s="8" t="n"/>
      <c r="O21" s="41" t="inlineStr">
        <is>
          <t>Coordinación</t>
        </is>
      </c>
      <c r="P21" s="40">
        <f>SUMIF($A$8:$A$53,O21,$G$8:$G$53)</f>
        <v/>
      </c>
      <c r="Q21" s="42">
        <f>IF(OR(PresupuestoTotal="",PresupuestoTotal=0),"",P21/PresupuestoTotal)</f>
        <v/>
      </c>
      <c r="R21" s="40">
        <f>SUMIF($A$8:$A$53,O21,$I$8:$I$53)</f>
        <v/>
      </c>
    </row>
    <row r="22" ht="20" customHeight="1">
      <c r="A22" s="8" t="inlineStr">
        <is>
          <t>Foto y video</t>
        </is>
      </c>
      <c r="B22" s="8" t="inlineStr">
        <is>
          <t>Fotografía</t>
        </is>
      </c>
      <c r="C22" s="8" t="inlineStr">
        <is>
          <t>No</t>
        </is>
      </c>
      <c r="D22" s="21" t="n"/>
      <c r="E22" s="40">
        <f>IF(D22&lt;&gt;"",D22,IF(C22="Sí",IF(InvitadosPrevistos="", "",InvitadosPrevistos),""))</f>
        <v/>
      </c>
      <c r="F22" s="21" t="n"/>
      <c r="G22" s="40">
        <f>IF(OR(E22="",F22=""),"",E22*F22)</f>
        <v/>
      </c>
      <c r="H22" s="21" t="n"/>
      <c r="I22" s="21" t="n"/>
      <c r="J22" s="40">
        <f>IF(AND(G22="",H22="",I22=""),"",IF(H22="",N(G22),N(H22))-N(I22))</f>
        <v/>
      </c>
      <c r="K22" s="8" t="n"/>
      <c r="L22" s="11" t="n"/>
      <c r="M22" s="8" t="n"/>
      <c r="O22" s="41" t="inlineStr">
        <is>
          <t>Otra</t>
        </is>
      </c>
      <c r="P22" s="40">
        <f>SUMIF($A$8:$A$53,O22,$G$8:$G$53)</f>
        <v/>
      </c>
      <c r="Q22" s="42">
        <f>IF(OR(PresupuestoTotal="",PresupuestoTotal=0),"",P22/PresupuestoTotal)</f>
        <v/>
      </c>
      <c r="R22" s="40">
        <f>SUMIF($A$8:$A$53,O22,$I$8:$I$53)</f>
        <v/>
      </c>
    </row>
    <row r="23" ht="20" customHeight="1">
      <c r="A23" s="8" t="inlineStr">
        <is>
          <t>Foto y video</t>
        </is>
      </c>
      <c r="B23" s="8" t="inlineStr">
        <is>
          <t>Video</t>
        </is>
      </c>
      <c r="C23" s="8" t="inlineStr">
        <is>
          <t>No</t>
        </is>
      </c>
      <c r="D23" s="21" t="n"/>
      <c r="E23" s="40">
        <f>IF(D23&lt;&gt;"",D23,IF(C23="Sí",IF(InvitadosPrevistos="", "",InvitadosPrevistos),""))</f>
        <v/>
      </c>
      <c r="F23" s="21" t="n"/>
      <c r="G23" s="40">
        <f>IF(OR(E23="",F23=""),"",E23*F23)</f>
        <v/>
      </c>
      <c r="H23" s="21" t="n"/>
      <c r="I23" s="21" t="n"/>
      <c r="J23" s="40">
        <f>IF(AND(G23="",H23="",I23=""),"",IF(H23="",N(G23),N(H23))-N(I23))</f>
        <v/>
      </c>
      <c r="K23" s="8" t="n"/>
      <c r="L23" s="11" t="n"/>
      <c r="M23" s="8" t="n"/>
      <c r="O23" s="43" t="inlineStr">
        <is>
          <t>Sin categoría</t>
        </is>
      </c>
      <c r="P23" s="40">
        <f>SUM($G$8:$G$53)-SUM($P$8:$P$22)</f>
        <v/>
      </c>
      <c r="Q23" s="42">
        <f>IF(OR(PresupuestoTotal="",PresupuestoTotal=0),"",P23/PresupuestoTotal)</f>
        <v/>
      </c>
      <c r="R23" s="40">
        <f>SUM($I$8:$I$53)-SUM($R$8:$R$22)</f>
        <v/>
      </c>
    </row>
    <row r="24" ht="20" customHeight="1">
      <c r="A24" s="8" t="inlineStr">
        <is>
          <t>Foto y video</t>
        </is>
      </c>
      <c r="B24" s="8" t="inlineStr">
        <is>
          <t>Álbum o entrega digital</t>
        </is>
      </c>
      <c r="C24" s="8" t="inlineStr">
        <is>
          <t>No</t>
        </is>
      </c>
      <c r="D24" s="21" t="n"/>
      <c r="E24" s="40">
        <f>IF(D24&lt;&gt;"",D24,IF(C24="Sí",IF(InvitadosPrevistos="", "",InvitadosPrevistos),""))</f>
        <v/>
      </c>
      <c r="F24" s="21" t="n"/>
      <c r="G24" s="40">
        <f>IF(OR(E24="",F24=""),"",E24*F24)</f>
        <v/>
      </c>
      <c r="H24" s="21" t="n"/>
      <c r="I24" s="21" t="n"/>
      <c r="J24" s="40">
        <f>IF(AND(G24="",H24="",I24=""),"",IF(H24="",N(G24),N(H24))-N(I24))</f>
        <v/>
      </c>
      <c r="K24" s="8" t="n"/>
      <c r="L24" s="11" t="n"/>
      <c r="M24" s="8" t="n"/>
      <c r="O24" s="43" t="inlineStr">
        <is>
          <t>Reserva</t>
        </is>
      </c>
      <c r="P24" s="40">
        <f>Inicio!H7</f>
        <v/>
      </c>
      <c r="Q24" s="42">
        <f>IF(OR(PresupuestoTotal="",PresupuestoTotal=0),"",P24/PresupuestoTotal)</f>
        <v/>
      </c>
      <c r="R24" s="40" t="n">
        <v>0</v>
      </c>
    </row>
    <row r="25" ht="20" customHeight="1">
      <c r="A25" s="8" t="inlineStr">
        <is>
          <t>Flores y decoración</t>
        </is>
      </c>
      <c r="B25" s="8" t="inlineStr">
        <is>
          <t>Decoración de la ceremonia</t>
        </is>
      </c>
      <c r="C25" s="8" t="inlineStr">
        <is>
          <t>No</t>
        </is>
      </c>
      <c r="D25" s="21" t="n"/>
      <c r="E25" s="40">
        <f>IF(D25&lt;&gt;"",D25,IF(C25="Sí",IF(InvitadosPrevistos="", "",InvitadosPrevistos),""))</f>
        <v/>
      </c>
      <c r="F25" s="21" t="n"/>
      <c r="G25" s="40">
        <f>IF(OR(E25="",F25=""),"",E25*F25)</f>
        <v/>
      </c>
      <c r="H25" s="21" t="n"/>
      <c r="I25" s="21" t="n"/>
      <c r="J25" s="40">
        <f>IF(AND(G25="",H25="",I25=""),"",IF(H25="",N(G25),N(H25))-N(I25))</f>
        <v/>
      </c>
      <c r="K25" s="8" t="n"/>
      <c r="L25" s="11" t="n"/>
      <c r="M25" s="8" t="n"/>
    </row>
    <row r="26" ht="20" customHeight="1">
      <c r="A26" s="8" t="inlineStr">
        <is>
          <t>Flores y decoración</t>
        </is>
      </c>
      <c r="B26" s="8" t="inlineStr">
        <is>
          <t>Centros de mesa</t>
        </is>
      </c>
      <c r="C26" s="8" t="inlineStr">
        <is>
          <t>No</t>
        </is>
      </c>
      <c r="D26" s="21" t="n"/>
      <c r="E26" s="40">
        <f>IF(D26&lt;&gt;"",D26,IF(C26="Sí",IF(InvitadosPrevistos="", "",InvitadosPrevistos),""))</f>
        <v/>
      </c>
      <c r="F26" s="21" t="n"/>
      <c r="G26" s="40">
        <f>IF(OR(E26="",F26=""),"",E26*F26)</f>
        <v/>
      </c>
      <c r="H26" s="21" t="n"/>
      <c r="I26" s="21" t="n"/>
      <c r="J26" s="40">
        <f>IF(AND(G26="",H26="",I26=""),"",IF(H26="",N(G26),N(H26))-N(I26))</f>
        <v/>
      </c>
      <c r="K26" s="8" t="n"/>
      <c r="L26" s="11" t="n"/>
      <c r="M26" s="8" t="n"/>
    </row>
    <row r="27" ht="20" customHeight="1">
      <c r="A27" s="8" t="inlineStr">
        <is>
          <t>Flores y decoración</t>
        </is>
      </c>
      <c r="B27" s="8" t="inlineStr">
        <is>
          <t>Iluminación decorativa</t>
        </is>
      </c>
      <c r="C27" s="8" t="inlineStr">
        <is>
          <t>No</t>
        </is>
      </c>
      <c r="D27" s="21" t="n"/>
      <c r="E27" s="40">
        <f>IF(D27&lt;&gt;"",D27,IF(C27="Sí",IF(InvitadosPrevistos="", "",InvitadosPrevistos),""))</f>
        <v/>
      </c>
      <c r="F27" s="21" t="n"/>
      <c r="G27" s="40">
        <f>IF(OR(E27="",F27=""),"",E27*F27)</f>
        <v/>
      </c>
      <c r="H27" s="21" t="n"/>
      <c r="I27" s="21" t="n"/>
      <c r="J27" s="40">
        <f>IF(AND(G27="",H27="",I27=""),"",IF(H27="",N(G27),N(H27))-N(I27))</f>
        <v/>
      </c>
      <c r="K27" s="8" t="n"/>
      <c r="L27" s="11" t="n"/>
      <c r="M27" s="8" t="n"/>
    </row>
    <row r="28" ht="20" customHeight="1">
      <c r="A28" s="8" t="inlineStr">
        <is>
          <t>Invitaciones</t>
        </is>
      </c>
      <c r="B28" s="8" t="inlineStr">
        <is>
          <t>Save the date</t>
        </is>
      </c>
      <c r="C28" s="8" t="inlineStr">
        <is>
          <t>No</t>
        </is>
      </c>
      <c r="D28" s="21" t="n"/>
      <c r="E28" s="40">
        <f>IF(D28&lt;&gt;"",D28,IF(C28="Sí",IF(InvitadosPrevistos="", "",InvitadosPrevistos),""))</f>
        <v/>
      </c>
      <c r="F28" s="21" t="n"/>
      <c r="G28" s="40">
        <f>IF(OR(E28="",F28=""),"",E28*F28)</f>
        <v/>
      </c>
      <c r="H28" s="21" t="n"/>
      <c r="I28" s="21" t="n"/>
      <c r="J28" s="40">
        <f>IF(AND(G28="",H28="",I28=""),"",IF(H28="",N(G28),N(H28))-N(I28))</f>
        <v/>
      </c>
      <c r="K28" s="8" t="n"/>
      <c r="L28" s="11" t="n"/>
      <c r="M28" s="8" t="n"/>
    </row>
    <row r="29" ht="20" customHeight="1">
      <c r="A29" s="8" t="inlineStr">
        <is>
          <t>Invitaciones</t>
        </is>
      </c>
      <c r="B29" s="8" t="inlineStr">
        <is>
          <t>Invitaciones</t>
        </is>
      </c>
      <c r="C29" s="8" t="inlineStr">
        <is>
          <t>No</t>
        </is>
      </c>
      <c r="D29" s="21" t="n"/>
      <c r="E29" s="40">
        <f>IF(D29&lt;&gt;"",D29,IF(C29="Sí",IF(InvitadosPrevistos="", "",InvitadosPrevistos),""))</f>
        <v/>
      </c>
      <c r="F29" s="21" t="n"/>
      <c r="G29" s="40">
        <f>IF(OR(E29="",F29=""),"",E29*F29)</f>
        <v/>
      </c>
      <c r="H29" s="21" t="n"/>
      <c r="I29" s="21" t="n"/>
      <c r="J29" s="40">
        <f>IF(AND(G29="",H29="",I29=""),"",IF(H29="",N(G29),N(H29))-N(I29))</f>
        <v/>
      </c>
      <c r="K29" s="8" t="n"/>
      <c r="L29" s="11" t="n"/>
      <c r="M29" s="8" t="n"/>
    </row>
    <row r="30" ht="20" customHeight="1">
      <c r="A30" s="8" t="inlineStr">
        <is>
          <t>Invitaciones</t>
        </is>
      </c>
      <c r="B30" s="8" t="inlineStr">
        <is>
          <t>Señalética y menús impresos</t>
        </is>
      </c>
      <c r="C30" s="8" t="inlineStr">
        <is>
          <t>No</t>
        </is>
      </c>
      <c r="D30" s="21" t="n"/>
      <c r="E30" s="40">
        <f>IF(D30&lt;&gt;"",D30,IF(C30="Sí",IF(InvitadosPrevistos="", "",InvitadosPrevistos),""))</f>
        <v/>
      </c>
      <c r="F30" s="21" t="n"/>
      <c r="G30" s="40">
        <f>IF(OR(E30="",F30=""),"",E30*F30)</f>
        <v/>
      </c>
      <c r="H30" s="21" t="n"/>
      <c r="I30" s="21" t="n"/>
      <c r="J30" s="40">
        <f>IF(AND(G30="",H30="",I30=""),"",IF(H30="",N(G30),N(H30))-N(I30))</f>
        <v/>
      </c>
      <c r="K30" s="8" t="n"/>
      <c r="L30" s="11" t="n"/>
      <c r="M30" s="8" t="n"/>
    </row>
    <row r="31" ht="20" customHeight="1">
      <c r="A31" s="8" t="inlineStr">
        <is>
          <t>Vestuario</t>
        </is>
      </c>
      <c r="B31" s="8" t="inlineStr">
        <is>
          <t>Vestido o traje</t>
        </is>
      </c>
      <c r="C31" s="8" t="inlineStr">
        <is>
          <t>No</t>
        </is>
      </c>
      <c r="D31" s="21" t="n"/>
      <c r="E31" s="40">
        <f>IF(D31&lt;&gt;"",D31,IF(C31="Sí",IF(InvitadosPrevistos="", "",InvitadosPrevistos),""))</f>
        <v/>
      </c>
      <c r="F31" s="21" t="n"/>
      <c r="G31" s="40">
        <f>IF(OR(E31="",F31=""),"",E31*F31)</f>
        <v/>
      </c>
      <c r="H31" s="21" t="n"/>
      <c r="I31" s="21" t="n"/>
      <c r="J31" s="40">
        <f>IF(AND(G31="",H31="",I31=""),"",IF(H31="",N(G31),N(H31))-N(I31))</f>
        <v/>
      </c>
      <c r="K31" s="8" t="n"/>
      <c r="L31" s="11" t="n"/>
      <c r="M31" s="8" t="n"/>
    </row>
    <row r="32" ht="20" customHeight="1">
      <c r="A32" s="8" t="inlineStr">
        <is>
          <t>Vestuario</t>
        </is>
      </c>
      <c r="B32" s="8" t="inlineStr">
        <is>
          <t>Accesorios</t>
        </is>
      </c>
      <c r="C32" s="8" t="inlineStr">
        <is>
          <t>No</t>
        </is>
      </c>
      <c r="D32" s="21" t="n"/>
      <c r="E32" s="40">
        <f>IF(D32&lt;&gt;"",D32,IF(C32="Sí",IF(InvitadosPrevistos="", "",InvitadosPrevistos),""))</f>
        <v/>
      </c>
      <c r="F32" s="21" t="n"/>
      <c r="G32" s="40">
        <f>IF(OR(E32="",F32=""),"",E32*F32)</f>
        <v/>
      </c>
      <c r="H32" s="21" t="n"/>
      <c r="I32" s="21" t="n"/>
      <c r="J32" s="40">
        <f>IF(AND(G32="",H32="",I32=""),"",IF(H32="",N(G32),N(H32))-N(I32))</f>
        <v/>
      </c>
      <c r="K32" s="8" t="n"/>
      <c r="L32" s="11" t="n"/>
      <c r="M32" s="8" t="n"/>
    </row>
    <row r="33" ht="20" customHeight="1">
      <c r="A33" s="8" t="inlineStr">
        <is>
          <t>Belleza</t>
        </is>
      </c>
      <c r="B33" s="8" t="inlineStr">
        <is>
          <t>Maquillaje y peinado</t>
        </is>
      </c>
      <c r="C33" s="8" t="inlineStr">
        <is>
          <t>No</t>
        </is>
      </c>
      <c r="D33" s="21" t="n"/>
      <c r="E33" s="40">
        <f>IF(D33&lt;&gt;"",D33,IF(C33="Sí",IF(InvitadosPrevistos="", "",InvitadosPrevistos),""))</f>
        <v/>
      </c>
      <c r="F33" s="21" t="n"/>
      <c r="G33" s="40">
        <f>IF(OR(E33="",F33=""),"",E33*F33)</f>
        <v/>
      </c>
      <c r="H33" s="21" t="n"/>
      <c r="I33" s="21" t="n"/>
      <c r="J33" s="40">
        <f>IF(AND(G33="",H33="",I33=""),"",IF(H33="",N(G33),N(H33))-N(I33))</f>
        <v/>
      </c>
      <c r="K33" s="8" t="n"/>
      <c r="L33" s="11" t="n"/>
      <c r="M33" s="8" t="n"/>
    </row>
    <row r="34" ht="20" customHeight="1">
      <c r="A34" s="8" t="inlineStr">
        <is>
          <t>Belleza</t>
        </is>
      </c>
      <c r="B34" s="8" t="inlineStr">
        <is>
          <t>Prueba de belleza</t>
        </is>
      </c>
      <c r="C34" s="8" t="inlineStr">
        <is>
          <t>No</t>
        </is>
      </c>
      <c r="D34" s="21" t="n"/>
      <c r="E34" s="40">
        <f>IF(D34&lt;&gt;"",D34,IF(C34="Sí",IF(InvitadosPrevistos="", "",InvitadosPrevistos),""))</f>
        <v/>
      </c>
      <c r="F34" s="21" t="n"/>
      <c r="G34" s="40">
        <f>IF(OR(E34="",F34=""),"",E34*F34)</f>
        <v/>
      </c>
      <c r="H34" s="21" t="n"/>
      <c r="I34" s="21" t="n"/>
      <c r="J34" s="40">
        <f>IF(AND(G34="",H34="",I34=""),"",IF(H34="",N(G34),N(H34))-N(I34))</f>
        <v/>
      </c>
      <c r="K34" s="8" t="n"/>
      <c r="L34" s="11" t="n"/>
      <c r="M34" s="8" t="n"/>
    </row>
    <row r="35" ht="20" customHeight="1">
      <c r="A35" s="8" t="inlineStr">
        <is>
          <t>Transporte</t>
        </is>
      </c>
      <c r="B35" s="8" t="inlineStr">
        <is>
          <t>Traslado de la pareja</t>
        </is>
      </c>
      <c r="C35" s="8" t="inlineStr">
        <is>
          <t>No</t>
        </is>
      </c>
      <c r="D35" s="21" t="n"/>
      <c r="E35" s="40">
        <f>IF(D35&lt;&gt;"",D35,IF(C35="Sí",IF(InvitadosPrevistos="", "",InvitadosPrevistos),""))</f>
        <v/>
      </c>
      <c r="F35" s="21" t="n"/>
      <c r="G35" s="40">
        <f>IF(OR(E35="",F35=""),"",E35*F35)</f>
        <v/>
      </c>
      <c r="H35" s="21" t="n"/>
      <c r="I35" s="21" t="n"/>
      <c r="J35" s="40">
        <f>IF(AND(G35="",H35="",I35=""),"",IF(H35="",N(G35),N(H35))-N(I35))</f>
        <v/>
      </c>
      <c r="K35" s="8" t="n"/>
      <c r="L35" s="11" t="n"/>
      <c r="M35" s="8" t="n"/>
    </row>
    <row r="36" ht="20" customHeight="1">
      <c r="A36" s="8" t="inlineStr">
        <is>
          <t>Transporte</t>
        </is>
      </c>
      <c r="B36" s="8" t="inlineStr">
        <is>
          <t>Traslado de invitados</t>
        </is>
      </c>
      <c r="C36" s="8" t="inlineStr">
        <is>
          <t>No</t>
        </is>
      </c>
      <c r="D36" s="21" t="n"/>
      <c r="E36" s="40">
        <f>IF(D36&lt;&gt;"",D36,IF(C36="Sí",IF(InvitadosPrevistos="", "",InvitadosPrevistos),""))</f>
        <v/>
      </c>
      <c r="F36" s="21" t="n"/>
      <c r="G36" s="40">
        <f>IF(OR(E36="",F36=""),"",E36*F36)</f>
        <v/>
      </c>
      <c r="H36" s="21" t="n"/>
      <c r="I36" s="21" t="n"/>
      <c r="J36" s="40">
        <f>IF(AND(G36="",H36="",I36=""),"",IF(H36="",N(G36),N(H36))-N(I36))</f>
        <v/>
      </c>
      <c r="K36" s="8" t="n"/>
      <c r="L36" s="11" t="n"/>
      <c r="M36" s="8" t="n"/>
    </row>
    <row r="37" ht="20" customHeight="1">
      <c r="A37" s="8" t="inlineStr">
        <is>
          <t>Mobiliario</t>
        </is>
      </c>
      <c r="B37" s="8" t="inlineStr">
        <is>
          <t>Renta de mesas, sillas y lounge</t>
        </is>
      </c>
      <c r="C37" s="8" t="inlineStr">
        <is>
          <t>No</t>
        </is>
      </c>
      <c r="D37" s="21" t="n"/>
      <c r="E37" s="40">
        <f>IF(D37&lt;&gt;"",D37,IF(C37="Sí",IF(InvitadosPrevistos="", "",InvitadosPrevistos),""))</f>
        <v/>
      </c>
      <c r="F37" s="21" t="n"/>
      <c r="G37" s="40">
        <f>IF(OR(E37="",F37=""),"",E37*F37)</f>
        <v/>
      </c>
      <c r="H37" s="21" t="n"/>
      <c r="I37" s="21" t="n"/>
      <c r="J37" s="40">
        <f>IF(AND(G37="",H37="",I37=""),"",IF(H37="",N(G37),N(H37))-N(I37))</f>
        <v/>
      </c>
      <c r="K37" s="8" t="n"/>
      <c r="L37" s="11" t="n"/>
      <c r="M37" s="8" t="n"/>
    </row>
    <row r="38" ht="20" customHeight="1">
      <c r="A38" s="8" t="inlineStr">
        <is>
          <t>Mobiliario</t>
        </is>
      </c>
      <c r="B38" s="8" t="inlineStr">
        <is>
          <t>Mantelería y loza</t>
        </is>
      </c>
      <c r="C38" s="8" t="inlineStr">
        <is>
          <t>No</t>
        </is>
      </c>
      <c r="D38" s="21" t="n"/>
      <c r="E38" s="40">
        <f>IF(D38&lt;&gt;"",D38,IF(C38="Sí",IF(InvitadosPrevistos="", "",InvitadosPrevistos),""))</f>
        <v/>
      </c>
      <c r="F38" s="21" t="n"/>
      <c r="G38" s="40">
        <f>IF(OR(E38="",F38=""),"",E38*F38)</f>
        <v/>
      </c>
      <c r="H38" s="21" t="n"/>
      <c r="I38" s="21" t="n"/>
      <c r="J38" s="40">
        <f>IF(AND(G38="",H38="",I38=""),"",IF(H38="",N(G38),N(H38))-N(I38))</f>
        <v/>
      </c>
      <c r="K38" s="8" t="n"/>
      <c r="L38" s="11" t="n"/>
      <c r="M38" s="8" t="n"/>
    </row>
    <row r="39" ht="20" customHeight="1">
      <c r="A39" s="8" t="inlineStr">
        <is>
          <t>Recuerdos</t>
        </is>
      </c>
      <c r="B39" s="8" t="inlineStr">
        <is>
          <t>Recuerdos por persona</t>
        </is>
      </c>
      <c r="C39" s="8" t="inlineStr">
        <is>
          <t>Sí</t>
        </is>
      </c>
      <c r="D39" s="21" t="n"/>
      <c r="E39" s="40">
        <f>IF(D39&lt;&gt;"",D39,IF(C39="Sí",IF(InvitadosPrevistos="", "",InvitadosPrevistos),""))</f>
        <v/>
      </c>
      <c r="F39" s="21" t="n"/>
      <c r="G39" s="40">
        <f>IF(OR(E39="",F39=""),"",E39*F39)</f>
        <v/>
      </c>
      <c r="H39" s="21" t="n"/>
      <c r="I39" s="21" t="n"/>
      <c r="J39" s="40">
        <f>IF(AND(G39="",H39="",I39=""),"",IF(H39="",N(G39),N(H39))-N(I39))</f>
        <v/>
      </c>
      <c r="K39" s="8" t="n"/>
      <c r="L39" s="11" t="n"/>
      <c r="M39" s="8" t="n"/>
    </row>
    <row r="40" ht="20" customHeight="1">
      <c r="A40" s="8" t="inlineStr">
        <is>
          <t>Coordinación</t>
        </is>
      </c>
      <c r="B40" s="8" t="inlineStr">
        <is>
          <t>Coordinación del día</t>
        </is>
      </c>
      <c r="C40" s="8" t="inlineStr">
        <is>
          <t>No</t>
        </is>
      </c>
      <c r="D40" s="21" t="n"/>
      <c r="E40" s="40">
        <f>IF(D40&lt;&gt;"",D40,IF(C40="Sí",IF(InvitadosPrevistos="", "",InvitadosPrevistos),""))</f>
        <v/>
      </c>
      <c r="F40" s="21" t="n"/>
      <c r="G40" s="40">
        <f>IF(OR(E40="",F40=""),"",E40*F40)</f>
        <v/>
      </c>
      <c r="H40" s="21" t="n"/>
      <c r="I40" s="21" t="n"/>
      <c r="J40" s="40">
        <f>IF(AND(G40="",H40="",I40=""),"",IF(H40="",N(G40),N(H40))-N(I40))</f>
        <v/>
      </c>
      <c r="K40" s="8" t="n"/>
      <c r="L40" s="11" t="n"/>
      <c r="M40" s="8" t="n"/>
    </row>
    <row r="41" ht="20" customHeight="1">
      <c r="A41" s="8" t="inlineStr">
        <is>
          <t>Coordinación</t>
        </is>
      </c>
      <c r="B41" s="8" t="inlineStr">
        <is>
          <t>Maestro de ceremonias</t>
        </is>
      </c>
      <c r="C41" s="8" t="inlineStr">
        <is>
          <t>No</t>
        </is>
      </c>
      <c r="D41" s="21" t="n"/>
      <c r="E41" s="40">
        <f>IF(D41&lt;&gt;"",D41,IF(C41="Sí",IF(InvitadosPrevistos="", "",InvitadosPrevistos),""))</f>
        <v/>
      </c>
      <c r="F41" s="21" t="n"/>
      <c r="G41" s="40">
        <f>IF(OR(E41="",F41=""),"",E41*F41)</f>
        <v/>
      </c>
      <c r="H41" s="21" t="n"/>
      <c r="I41" s="21" t="n"/>
      <c r="J41" s="40">
        <f>IF(AND(G41="",H41="",I41=""),"",IF(H41="",N(G41),N(H41))-N(I41))</f>
        <v/>
      </c>
      <c r="K41" s="8" t="n"/>
      <c r="L41" s="11" t="n"/>
      <c r="M41" s="8" t="n"/>
    </row>
    <row r="42" ht="20" customHeight="1">
      <c r="A42" s="8" t="n"/>
      <c r="B42" s="8" t="n"/>
      <c r="C42" s="8" t="n"/>
      <c r="D42" s="21" t="n"/>
      <c r="E42" s="40">
        <f>IF(D42&lt;&gt;"",D42,IF(C42="Sí",IF(InvitadosPrevistos="", "",InvitadosPrevistos),""))</f>
        <v/>
      </c>
      <c r="F42" s="21" t="n"/>
      <c r="G42" s="40">
        <f>IF(OR(E42="",F42=""),"",E42*F42)</f>
        <v/>
      </c>
      <c r="H42" s="21" t="n"/>
      <c r="I42" s="21" t="n"/>
      <c r="J42" s="40">
        <f>IF(AND(G42="",H42="",I42=""),"",IF(H42="",N(G42),N(H42))-N(I42))</f>
        <v/>
      </c>
      <c r="K42" s="8" t="n"/>
      <c r="L42" s="11" t="n"/>
      <c r="M42" s="8" t="n"/>
    </row>
    <row r="43" ht="20" customHeight="1">
      <c r="A43" s="8" t="n"/>
      <c r="B43" s="8" t="n"/>
      <c r="C43" s="8" t="n"/>
      <c r="D43" s="21" t="n"/>
      <c r="E43" s="40">
        <f>IF(D43&lt;&gt;"",D43,IF(C43="Sí",IF(InvitadosPrevistos="", "",InvitadosPrevistos),""))</f>
        <v/>
      </c>
      <c r="F43" s="21" t="n"/>
      <c r="G43" s="40">
        <f>IF(OR(E43="",F43=""),"",E43*F43)</f>
        <v/>
      </c>
      <c r="H43" s="21" t="n"/>
      <c r="I43" s="21" t="n"/>
      <c r="J43" s="40">
        <f>IF(AND(G43="",H43="",I43=""),"",IF(H43="",N(G43),N(H43))-N(I43))</f>
        <v/>
      </c>
      <c r="K43" s="8" t="n"/>
      <c r="L43" s="11" t="n"/>
      <c r="M43" s="8" t="n"/>
    </row>
    <row r="44" ht="20" customHeight="1">
      <c r="A44" s="8" t="n"/>
      <c r="B44" s="8" t="n"/>
      <c r="C44" s="8" t="n"/>
      <c r="D44" s="21" t="n"/>
      <c r="E44" s="40">
        <f>IF(D44&lt;&gt;"",D44,IF(C44="Sí",IF(InvitadosPrevistos="", "",InvitadosPrevistos),""))</f>
        <v/>
      </c>
      <c r="F44" s="21" t="n"/>
      <c r="G44" s="40">
        <f>IF(OR(E44="",F44=""),"",E44*F44)</f>
        <v/>
      </c>
      <c r="H44" s="21" t="n"/>
      <c r="I44" s="21" t="n"/>
      <c r="J44" s="40">
        <f>IF(AND(G44="",H44="",I44=""),"",IF(H44="",N(G44),N(H44))-N(I44))</f>
        <v/>
      </c>
      <c r="K44" s="8" t="n"/>
      <c r="L44" s="11" t="n"/>
      <c r="M44" s="8" t="n"/>
    </row>
    <row r="45" ht="20" customHeight="1">
      <c r="A45" s="8" t="n"/>
      <c r="B45" s="8" t="n"/>
      <c r="C45" s="8" t="n"/>
      <c r="D45" s="21" t="n"/>
      <c r="E45" s="40">
        <f>IF(D45&lt;&gt;"",D45,IF(C45="Sí",IF(InvitadosPrevistos="", "",InvitadosPrevistos),""))</f>
        <v/>
      </c>
      <c r="F45" s="21" t="n"/>
      <c r="G45" s="40">
        <f>IF(OR(E45="",F45=""),"",E45*F45)</f>
        <v/>
      </c>
      <c r="H45" s="21" t="n"/>
      <c r="I45" s="21" t="n"/>
      <c r="J45" s="40">
        <f>IF(AND(G45="",H45="",I45=""),"",IF(H45="",N(G45),N(H45))-N(I45))</f>
        <v/>
      </c>
      <c r="K45" s="8" t="n"/>
      <c r="L45" s="11" t="n"/>
      <c r="M45" s="8" t="n"/>
    </row>
    <row r="46" ht="20" customHeight="1">
      <c r="A46" s="8" t="n"/>
      <c r="B46" s="8" t="n"/>
      <c r="C46" s="8" t="n"/>
      <c r="D46" s="21" t="n"/>
      <c r="E46" s="40">
        <f>IF(D46&lt;&gt;"",D46,IF(C46="Sí",IF(InvitadosPrevistos="", "",InvitadosPrevistos),""))</f>
        <v/>
      </c>
      <c r="F46" s="21" t="n"/>
      <c r="G46" s="40">
        <f>IF(OR(E46="",F46=""),"",E46*F46)</f>
        <v/>
      </c>
      <c r="H46" s="21" t="n"/>
      <c r="I46" s="21" t="n"/>
      <c r="J46" s="40">
        <f>IF(AND(G46="",H46="",I46=""),"",IF(H46="",N(G46),N(H46))-N(I46))</f>
        <v/>
      </c>
      <c r="K46" s="8" t="n"/>
      <c r="L46" s="11" t="n"/>
      <c r="M46" s="8" t="n"/>
    </row>
    <row r="47" ht="20" customHeight="1">
      <c r="A47" s="8" t="n"/>
      <c r="B47" s="8" t="n"/>
      <c r="C47" s="8" t="n"/>
      <c r="D47" s="21" t="n"/>
      <c r="E47" s="40">
        <f>IF(D47&lt;&gt;"",D47,IF(C47="Sí",IF(InvitadosPrevistos="", "",InvitadosPrevistos),""))</f>
        <v/>
      </c>
      <c r="F47" s="21" t="n"/>
      <c r="G47" s="40">
        <f>IF(OR(E47="",F47=""),"",E47*F47)</f>
        <v/>
      </c>
      <c r="H47" s="21" t="n"/>
      <c r="I47" s="21" t="n"/>
      <c r="J47" s="40">
        <f>IF(AND(G47="",H47="",I47=""),"",IF(H47="",N(G47),N(H47))-N(I47))</f>
        <v/>
      </c>
      <c r="K47" s="8" t="n"/>
      <c r="L47" s="11" t="n"/>
      <c r="M47" s="8" t="n"/>
    </row>
    <row r="48" ht="20" customHeight="1">
      <c r="A48" s="8" t="n"/>
      <c r="B48" s="8" t="n"/>
      <c r="C48" s="8" t="n"/>
      <c r="D48" s="21" t="n"/>
      <c r="E48" s="40">
        <f>IF(D48&lt;&gt;"",D48,IF(C48="Sí",IF(InvitadosPrevistos="", "",InvitadosPrevistos),""))</f>
        <v/>
      </c>
      <c r="F48" s="21" t="n"/>
      <c r="G48" s="40">
        <f>IF(OR(E48="",F48=""),"",E48*F48)</f>
        <v/>
      </c>
      <c r="H48" s="21" t="n"/>
      <c r="I48" s="21" t="n"/>
      <c r="J48" s="40">
        <f>IF(AND(G48="",H48="",I48=""),"",IF(H48="",N(G48),N(H48))-N(I48))</f>
        <v/>
      </c>
      <c r="K48" s="8" t="n"/>
      <c r="L48" s="11" t="n"/>
      <c r="M48" s="8" t="n"/>
    </row>
    <row r="49" ht="20" customHeight="1">
      <c r="A49" s="8" t="n"/>
      <c r="B49" s="8" t="n"/>
      <c r="C49" s="8" t="n"/>
      <c r="D49" s="21" t="n"/>
      <c r="E49" s="40">
        <f>IF(D49&lt;&gt;"",D49,IF(C49="Sí",IF(InvitadosPrevistos="", "",InvitadosPrevistos),""))</f>
        <v/>
      </c>
      <c r="F49" s="21" t="n"/>
      <c r="G49" s="40">
        <f>IF(OR(E49="",F49=""),"",E49*F49)</f>
        <v/>
      </c>
      <c r="H49" s="21" t="n"/>
      <c r="I49" s="21" t="n"/>
      <c r="J49" s="40">
        <f>IF(AND(G49="",H49="",I49=""),"",IF(H49="",N(G49),N(H49))-N(I49))</f>
        <v/>
      </c>
      <c r="K49" s="8" t="n"/>
      <c r="L49" s="11" t="n"/>
      <c r="M49" s="8" t="n"/>
    </row>
    <row r="50" ht="20" customHeight="1">
      <c r="A50" s="8" t="n"/>
      <c r="B50" s="8" t="n"/>
      <c r="C50" s="8" t="n"/>
      <c r="D50" s="21" t="n"/>
      <c r="E50" s="40">
        <f>IF(D50&lt;&gt;"",D50,IF(C50="Sí",IF(InvitadosPrevistos="", "",InvitadosPrevistos),""))</f>
        <v/>
      </c>
      <c r="F50" s="21" t="n"/>
      <c r="G50" s="40">
        <f>IF(OR(E50="",F50=""),"",E50*F50)</f>
        <v/>
      </c>
      <c r="H50" s="21" t="n"/>
      <c r="I50" s="21" t="n"/>
      <c r="J50" s="40">
        <f>IF(AND(G50="",H50="",I50=""),"",IF(H50="",N(G50),N(H50))-N(I50))</f>
        <v/>
      </c>
      <c r="K50" s="8" t="n"/>
      <c r="L50" s="11" t="n"/>
      <c r="M50" s="8" t="n"/>
    </row>
    <row r="51" ht="20" customHeight="1">
      <c r="A51" s="8" t="n"/>
      <c r="B51" s="8" t="n"/>
      <c r="C51" s="8" t="n"/>
      <c r="D51" s="21" t="n"/>
      <c r="E51" s="40">
        <f>IF(D51&lt;&gt;"",D51,IF(C51="Sí",IF(InvitadosPrevistos="", "",InvitadosPrevistos),""))</f>
        <v/>
      </c>
      <c r="F51" s="21" t="n"/>
      <c r="G51" s="40">
        <f>IF(OR(E51="",F51=""),"",E51*F51)</f>
        <v/>
      </c>
      <c r="H51" s="21" t="n"/>
      <c r="I51" s="21" t="n"/>
      <c r="J51" s="40">
        <f>IF(AND(G51="",H51="",I51=""),"",IF(H51="",N(G51),N(H51))-N(I51))</f>
        <v/>
      </c>
      <c r="K51" s="8" t="n"/>
      <c r="L51" s="11" t="n"/>
      <c r="M51" s="8" t="n"/>
    </row>
    <row r="52" ht="20" customHeight="1">
      <c r="A52" s="8" t="n"/>
      <c r="B52" s="8" t="n"/>
      <c r="C52" s="8" t="n"/>
      <c r="D52" s="21" t="n"/>
      <c r="E52" s="40">
        <f>IF(D52&lt;&gt;"",D52,IF(C52="Sí",IF(InvitadosPrevistos="", "",InvitadosPrevistos),""))</f>
        <v/>
      </c>
      <c r="F52" s="21" t="n"/>
      <c r="G52" s="40">
        <f>IF(OR(E52="",F52=""),"",E52*F52)</f>
        <v/>
      </c>
      <c r="H52" s="21" t="n"/>
      <c r="I52" s="21" t="n"/>
      <c r="J52" s="40">
        <f>IF(AND(G52="",H52="",I52=""),"",IF(H52="",N(G52),N(H52))-N(I52))</f>
        <v/>
      </c>
      <c r="K52" s="8" t="n"/>
      <c r="L52" s="11" t="n"/>
      <c r="M52" s="8" t="n"/>
    </row>
    <row r="53" ht="20" customHeight="1">
      <c r="A53" s="8" t="n"/>
      <c r="B53" s="8" t="n"/>
      <c r="C53" s="8" t="n"/>
      <c r="D53" s="21" t="n"/>
      <c r="E53" s="40">
        <f>IF(D53&lt;&gt;"",D53,IF(C53="Sí",IF(InvitadosPrevistos="", "",InvitadosPrevistos),""))</f>
        <v/>
      </c>
      <c r="F53" s="21" t="n"/>
      <c r="G53" s="40">
        <f>IF(OR(E53="",F53=""),"",E53*F53)</f>
        <v/>
      </c>
      <c r="H53" s="21" t="n"/>
      <c r="I53" s="21" t="n"/>
      <c r="J53" s="40">
        <f>IF(AND(G53="",H53="",I53=""),"",IF(H53="",N(G53),N(H53))-N(I53))</f>
        <v/>
      </c>
      <c r="K53" s="8" t="n"/>
      <c r="L53" s="11" t="n"/>
      <c r="M53" s="8" t="n"/>
    </row>
    <row r="54" ht="24" customHeight="1">
      <c r="A54" s="44" t="inlineStr">
        <is>
          <t>Total</t>
        </is>
      </c>
      <c r="B54" s="44" t="inlineStr">
        <is>
          <t>Total de conceptos</t>
        </is>
      </c>
      <c r="C54" s="44" t="n"/>
      <c r="D54" s="44" t="n"/>
      <c r="E54" s="45" t="n"/>
      <c r="F54" s="45" t="n"/>
      <c r="G54" s="46">
        <f>SUM(G8:G53)</f>
        <v/>
      </c>
      <c r="H54" s="46">
        <f>SUM(H8:H53)</f>
        <v/>
      </c>
      <c r="I54" s="46">
        <f>SUM(I8:I53)</f>
        <v/>
      </c>
      <c r="J54" s="46">
        <f>SUM(J8:J53)</f>
        <v/>
      </c>
      <c r="K54" s="45" t="n"/>
      <c r="L54" s="45" t="n"/>
      <c r="M54" s="45" t="n"/>
    </row>
  </sheetData>
  <autoFilter ref="A7:M53"/>
  <mergeCells count="15">
    <mergeCell ref="A4:B4"/>
    <mergeCell ref="G4:H4"/>
    <mergeCell ref="E4:F4"/>
    <mergeCell ref="I4:J4"/>
    <mergeCell ref="A1:M1"/>
    <mergeCell ref="C5:D5"/>
    <mergeCell ref="A5:B5"/>
    <mergeCell ref="G5:H5"/>
    <mergeCell ref="E5:F5"/>
    <mergeCell ref="K5:L5"/>
    <mergeCell ref="I5:J5"/>
    <mergeCell ref="K4:L4"/>
    <mergeCell ref="O6:R6"/>
    <mergeCell ref="A2:M2"/>
    <mergeCell ref="C4:D4"/>
  </mergeCells>
  <conditionalFormatting sqref="K8:K53">
    <cfRule type="expression" priority="1" dxfId="7">
      <formula>K8="Pagado"</formula>
    </cfRule>
    <cfRule type="expression" priority="2" dxfId="8">
      <formula>K8="Pagado parcial"</formula>
    </cfRule>
    <cfRule type="expression" priority="3" dxfId="7">
      <formula>K8="Contratado"</formula>
    </cfRule>
    <cfRule type="expression" priority="4" dxfId="9">
      <formula>K8="Cancelado"</formula>
    </cfRule>
  </conditionalFormatting>
  <conditionalFormatting sqref="L8:L53">
    <cfRule type="expression" priority="5" dxfId="10">
      <formula>AND(L8&lt;&gt;"",L8&lt;TODAY(),J8&gt;0)</formula>
    </cfRule>
    <cfRule type="expression" priority="6" dxfId="8">
      <formula>AND(L8&lt;&gt;"",L8&gt;=TODAY(),L8&lt;=TODAY()+14,J8&gt;0)</formula>
    </cfRule>
  </conditionalFormatting>
  <conditionalFormatting sqref="J8:J54">
    <cfRule type="expression" priority="7" dxfId="10">
      <formula>J8&lt;0</formula>
    </cfRule>
  </conditionalFormatting>
  <dataValidations count="6">
    <dataValidation sqref="A8:A53" showDropDown="0" showInputMessage="0" showErrorMessage="0" allowBlank="1" errorTitle="Elige una opción" error="Puedes elegir una categoría o escribir otra." type="list">
      <formula1>=Listas!$A$2:$A$16</formula1>
    </dataValidation>
    <dataValidation sqref="C8:C53" showDropDown="0" showInputMessage="0" showErrorMessage="1" allowBlank="1" errorTitle="Elige una opción" error="Elige Sí o No." type="list">
      <formula1>=Listas!$J$2:$J$3</formula1>
    </dataValidation>
    <dataValidation sqref="K8:K53" showDropDown="0" showInputMessage="0" showErrorMessage="1" allowBlank="1" errorTitle="Elige una opción" error="Elige un estado de la lista." type="list">
      <formula1>=Listas!$F$2:$F$8</formula1>
    </dataValidation>
    <dataValidation sqref="D8:D53" showDropDown="0" showInputMessage="0" showErrorMessage="1" allowBlank="1" errorTitle="Revisa el número" error="El ajuste tiene que ser un número igual o mayor que cero." type="decimal" operator="greaterThanOrEqual">
      <formula1>0</formula1>
    </dataValidation>
    <dataValidation sqref="F8:F53" showDropDown="0" showInputMessage="0" showErrorMessage="1" allowBlank="1" errorTitle="Revisa el número" error="El costo unitario tiene que ser igual o mayor que cero." type="decimal" operator="greaterThanOrEqual">
      <formula1>0</formula1>
    </dataValidation>
    <dataValidation sqref="H8:I53" showDropDown="0" showInputMessage="0" showErrorMessage="1" allowBlank="1" errorTitle="Revisa el número" error="El monto tiene que ser igual o mayor que cero." type="decimal" operator="greaterThanOrEqual">
      <formula1>0</formula1>
    </dataValidation>
  </dataValidations>
  <printOptions horizontalCentered="1"/>
  <pageMargins left="0.5" right="0.5" top="0.55" bottom="0.5" header="0.2" footer="0.25"/>
  <pageSetup orientation="landscape" paperSize="9" fitToHeight="0" fitToWidth="1"/>
  <headerFooter>
    <oddHeader>&amp;LPresupuesto</oddHeader>
    <oddFooter>&amp;LPlan de la fiesta de boda&amp;RPágina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245C45"/>
    <outlinePr summaryBelow="1" summaryRight="1"/>
    <pageSetUpPr fitToPage="1"/>
  </sheetPr>
  <dimension ref="A1:O107"/>
  <sheetViews>
    <sheetView showGridLines="0" zoomScale="110" workbookViewId="0">
      <pane ySplit="7" topLeftCell="A8" activePane="bottomLeft" state="frozen"/>
      <selection pane="bottomLeft" activeCell="A1" sqref="A1"/>
    </sheetView>
  </sheetViews>
  <sheetFormatPr baseColWidth="8" defaultRowHeight="18"/>
  <cols>
    <col width="28" customWidth="1" min="1" max="1"/>
    <col width="22" customWidth="1" min="2" max="2"/>
    <col width="14" customWidth="1" min="3" max="3"/>
    <col width="24" customWidth="1" min="4" max="4"/>
    <col width="16" customWidth="1" min="5" max="5"/>
    <col width="28" customWidth="1" min="6" max="6"/>
    <col width="12" customWidth="1" min="7" max="7"/>
    <col width="12" customWidth="1" min="8" max="8"/>
    <col width="12" customWidth="1" min="9" max="9"/>
    <col width="16" customWidth="1" min="10" max="10"/>
    <col width="16" customWidth="1" min="11" max="11"/>
    <col width="12" customWidth="1" min="12" max="12"/>
    <col width="16" customWidth="1" min="13" max="13"/>
    <col width="10" customWidth="1" min="14" max="14"/>
    <col width="28" customWidth="1" min="15" max="15"/>
  </cols>
  <sheetData>
    <row r="1" ht="36" customHeight="1">
      <c r="A1" s="1" t="inlineStr">
        <is>
          <t>Invitados</t>
        </is>
      </c>
      <c r="B1" s="2" t="n"/>
      <c r="C1" s="2" t="n"/>
      <c r="D1" s="2" t="n"/>
      <c r="E1" s="2" t="n"/>
      <c r="F1" s="2" t="n"/>
      <c r="G1" s="2" t="n"/>
      <c r="H1" s="2" t="n"/>
      <c r="I1" s="2" t="n"/>
      <c r="J1" s="2" t="n"/>
      <c r="K1" s="2" t="n"/>
      <c r="L1" s="2" t="n"/>
      <c r="M1" s="2" t="n"/>
      <c r="N1" s="2" t="n"/>
      <c r="O1" s="2" t="n"/>
    </row>
    <row r="2" ht="34" customHeight="1">
      <c r="A2" s="3" t="inlineStr">
        <is>
          <t>Borra las filas que empiezan con EJEMPLO. Una fila puede ser una persona o una familia: anota adultos y niños. Si en la misma fila hay menús distintos, sepárala.</t>
        </is>
      </c>
      <c r="B2" s="4" t="n"/>
      <c r="C2" s="4" t="n"/>
      <c r="D2" s="4" t="n"/>
      <c r="E2" s="4" t="n"/>
      <c r="F2" s="4" t="n"/>
      <c r="G2" s="4" t="n"/>
      <c r="H2" s="4" t="n"/>
      <c r="I2" s="4" t="n"/>
      <c r="J2" s="4" t="n"/>
      <c r="K2" s="4" t="n"/>
      <c r="L2" s="4" t="n"/>
      <c r="M2" s="4" t="n"/>
      <c r="N2" s="4" t="n"/>
      <c r="O2" s="4" t="n"/>
    </row>
    <row r="3" ht="10" customHeight="1"/>
    <row r="7" ht="32" customHeight="1">
      <c r="A7" s="39" t="inlineStr">
        <is>
          <t>Nombre</t>
        </is>
      </c>
      <c r="B7" s="39" t="inlineStr">
        <is>
          <t>Grupo o familia</t>
        </is>
      </c>
      <c r="C7" s="39" t="inlineStr">
        <is>
          <t>Lado</t>
        </is>
      </c>
      <c r="D7" s="39" t="inlineStr">
        <is>
          <t>Relación</t>
        </is>
      </c>
      <c r="E7" s="39" t="inlineStr">
        <is>
          <t>Teléfono</t>
        </is>
      </c>
      <c r="F7" s="39" t="inlineStr">
        <is>
          <t>Correo</t>
        </is>
      </c>
      <c r="G7" s="39" t="inlineStr">
        <is>
          <t>Adultos</t>
        </is>
      </c>
      <c r="H7" s="39" t="inlineStr">
        <is>
          <t>Niños</t>
        </is>
      </c>
      <c r="I7" s="39" t="inlineStr">
        <is>
          <t>Total</t>
        </is>
      </c>
      <c r="J7" s="39" t="inlineStr">
        <is>
          <t>Invitación</t>
        </is>
      </c>
      <c r="K7" s="39" t="inlineStr">
        <is>
          <t>RSVP</t>
        </is>
      </c>
      <c r="L7" s="39" t="inlineStr">
        <is>
          <t>Asisten</t>
        </is>
      </c>
      <c r="M7" s="39" t="inlineStr">
        <is>
          <t>Menú</t>
        </is>
      </c>
      <c r="N7" s="39" t="inlineStr">
        <is>
          <t>Mesa</t>
        </is>
      </c>
      <c r="O7" s="39" t="inlineStr">
        <is>
          <t>Notas</t>
        </is>
      </c>
    </row>
    <row r="8" ht="20" customHeight="1">
      <c r="A8" s="47" t="inlineStr">
        <is>
          <t>EJEMPLO · Ana López</t>
        </is>
      </c>
      <c r="B8" s="8" t="inlineStr">
        <is>
          <t>Familia López</t>
        </is>
      </c>
      <c r="C8" s="8" t="inlineStr">
        <is>
          <t>Novia</t>
        </is>
      </c>
      <c r="D8" s="8" t="inlineStr">
        <is>
          <t>Hermana</t>
        </is>
      </c>
      <c r="E8" s="26" t="n"/>
      <c r="F8" s="8" t="n"/>
      <c r="G8" s="18" t="n">
        <v>2</v>
      </c>
      <c r="H8" s="18" t="n">
        <v>0</v>
      </c>
      <c r="I8" s="48">
        <f>IF(AND(G8="",H8=""),"",N(G8)+N(H8))</f>
        <v/>
      </c>
      <c r="J8" s="8" t="inlineStr">
        <is>
          <t>Enviada</t>
        </is>
      </c>
      <c r="K8" s="8" t="inlineStr">
        <is>
          <t>Confirmado</t>
        </is>
      </c>
      <c r="L8" s="48">
        <f>IF(OR(K8="",K8="Pendiente"),"",IF(K8="Rechazado",0,IF(K8="Confirmado",IF(I8="","",I8),"")))</f>
        <v/>
      </c>
      <c r="M8" s="8" t="inlineStr">
        <is>
          <t>Estándar</t>
        </is>
      </c>
      <c r="N8" s="18" t="n">
        <v>1</v>
      </c>
      <c r="O8" s="8" t="n"/>
    </row>
    <row r="9" ht="20" customHeight="1">
      <c r="A9" s="47" t="inlineStr">
        <is>
          <t>EJEMPLO · Luis Pérez</t>
        </is>
      </c>
      <c r="B9" s="8" t="inlineStr">
        <is>
          <t>Familia López</t>
        </is>
      </c>
      <c r="C9" s="8" t="inlineStr">
        <is>
          <t>Novio</t>
        </is>
      </c>
      <c r="D9" s="8" t="inlineStr">
        <is>
          <t>Amigo</t>
        </is>
      </c>
      <c r="E9" s="26" t="n"/>
      <c r="F9" s="8" t="n"/>
      <c r="G9" s="18" t="n">
        <v>1</v>
      </c>
      <c r="H9" s="18" t="n">
        <v>0</v>
      </c>
      <c r="I9" s="48">
        <f>IF(AND(G9="",H9=""),"",N(G9)+N(H9))</f>
        <v/>
      </c>
      <c r="J9" s="8" t="inlineStr">
        <is>
          <t>Enviada</t>
        </is>
      </c>
      <c r="K9" s="8" t="inlineStr">
        <is>
          <t>Pendiente</t>
        </is>
      </c>
      <c r="L9" s="48">
        <f>IF(OR(K9="",K9="Pendiente"),"",IF(K9="Rechazado",0,IF(K9="Confirmado",IF(I9="","",I9),"")))</f>
        <v/>
      </c>
      <c r="M9" s="8" t="inlineStr">
        <is>
          <t>Estándar</t>
        </is>
      </c>
      <c r="N9" s="18" t="n">
        <v>1</v>
      </c>
      <c r="O9" s="8" t="n"/>
    </row>
    <row r="10" ht="20" customHeight="1">
      <c r="A10" s="47" t="inlineStr">
        <is>
          <t>EJEMPLO · Maya Ruiz</t>
        </is>
      </c>
      <c r="B10" s="8" t="inlineStr">
        <is>
          <t>Familia Ruiz</t>
        </is>
      </c>
      <c r="C10" s="8" t="inlineStr">
        <is>
          <t>Novia</t>
        </is>
      </c>
      <c r="D10" s="8" t="inlineStr">
        <is>
          <t>Prima</t>
        </is>
      </c>
      <c r="E10" s="26" t="n"/>
      <c r="F10" s="8" t="n"/>
      <c r="G10" s="18" t="n">
        <v>2</v>
      </c>
      <c r="H10" s="18" t="n">
        <v>1</v>
      </c>
      <c r="I10" s="48">
        <f>IF(AND(G10="",H10=""),"",N(G10)+N(H10))</f>
        <v/>
      </c>
      <c r="J10" s="8" t="inlineStr">
        <is>
          <t>Entregada</t>
        </is>
      </c>
      <c r="K10" s="8" t="inlineStr">
        <is>
          <t>Confirmado</t>
        </is>
      </c>
      <c r="L10" s="48">
        <f>IF(OR(K10="",K10="Pendiente"),"",IF(K10="Rechazado",0,IF(K10="Confirmado",IF(I10="","",I10),"")))</f>
        <v/>
      </c>
      <c r="M10" s="8" t="inlineStr">
        <is>
          <t>Vegetariano</t>
        </is>
      </c>
      <c r="N10" s="18" t="n">
        <v>2</v>
      </c>
      <c r="O10" s="8" t="n"/>
    </row>
    <row r="11" ht="20" customHeight="1">
      <c r="A11" s="47" t="inlineStr">
        <is>
          <t>EJEMPLO · Jorge Díaz</t>
        </is>
      </c>
      <c r="B11" s="8" t="inlineStr">
        <is>
          <t>Trabajo</t>
        </is>
      </c>
      <c r="C11" s="8" t="inlineStr">
        <is>
          <t>Novio</t>
        </is>
      </c>
      <c r="D11" s="8" t="inlineStr">
        <is>
          <t>Compañero de trabajo</t>
        </is>
      </c>
      <c r="E11" s="26" t="n"/>
      <c r="F11" s="8" t="n"/>
      <c r="G11" s="18" t="n">
        <v>1</v>
      </c>
      <c r="H11" s="18" t="n">
        <v>0</v>
      </c>
      <c r="I11" s="48">
        <f>IF(AND(G11="",H11=""),"",N(G11)+N(H11))</f>
        <v/>
      </c>
      <c r="J11" s="8" t="inlineStr">
        <is>
          <t>Enviada</t>
        </is>
      </c>
      <c r="K11" s="8" t="inlineStr">
        <is>
          <t>Rechazado</t>
        </is>
      </c>
      <c r="L11" s="48">
        <f>IF(OR(K11="",K11="Pendiente"),"",IF(K11="Rechazado",0,IF(K11="Confirmado",IF(I11="","",I11),"")))</f>
        <v/>
      </c>
      <c r="M11" s="8" t="inlineStr">
        <is>
          <t>Estándar</t>
        </is>
      </c>
      <c r="N11" s="18" t="n"/>
      <c r="O11" s="8" t="n"/>
    </row>
    <row r="12" ht="20" customHeight="1">
      <c r="A12" s="8" t="n"/>
      <c r="B12" s="8" t="n"/>
      <c r="C12" s="8" t="n"/>
      <c r="D12" s="8" t="n"/>
      <c r="E12" s="26" t="n"/>
      <c r="F12" s="8" t="n"/>
      <c r="G12" s="18" t="n"/>
      <c r="H12" s="18" t="n"/>
      <c r="I12" s="48">
        <f>IF(AND(G12="",H12=""),"",N(G12)+N(H12))</f>
        <v/>
      </c>
      <c r="J12" s="8" t="n"/>
      <c r="K12" s="8" t="n"/>
      <c r="L12" s="48">
        <f>IF(OR(K12="",K12="Pendiente"),"",IF(K12="Rechazado",0,IF(K12="Confirmado",IF(I12="","",I12),"")))</f>
        <v/>
      </c>
      <c r="M12" s="8" t="n"/>
      <c r="N12" s="18" t="n"/>
      <c r="O12" s="8" t="n"/>
    </row>
    <row r="13" ht="20" customHeight="1">
      <c r="A13" s="8" t="n"/>
      <c r="B13" s="8" t="n"/>
      <c r="C13" s="8" t="n"/>
      <c r="D13" s="8" t="n"/>
      <c r="E13" s="26" t="n"/>
      <c r="F13" s="8" t="n"/>
      <c r="G13" s="18" t="n"/>
      <c r="H13" s="18" t="n"/>
      <c r="I13" s="48">
        <f>IF(AND(G13="",H13=""),"",N(G13)+N(H13))</f>
        <v/>
      </c>
      <c r="J13" s="8" t="n"/>
      <c r="K13" s="8" t="n"/>
      <c r="L13" s="48">
        <f>IF(OR(K13="",K13="Pendiente"),"",IF(K13="Rechazado",0,IF(K13="Confirmado",IF(I13="","",I13),"")))</f>
        <v/>
      </c>
      <c r="M13" s="8" t="n"/>
      <c r="N13" s="18" t="n"/>
      <c r="O13" s="8" t="n"/>
    </row>
    <row r="14" ht="20" customHeight="1">
      <c r="A14" s="8" t="n"/>
      <c r="B14" s="8" t="n"/>
      <c r="C14" s="8" t="n"/>
      <c r="D14" s="8" t="n"/>
      <c r="E14" s="26" t="n"/>
      <c r="F14" s="8" t="n"/>
      <c r="G14" s="18" t="n"/>
      <c r="H14" s="18" t="n"/>
      <c r="I14" s="48">
        <f>IF(AND(G14="",H14=""),"",N(G14)+N(H14))</f>
        <v/>
      </c>
      <c r="J14" s="8" t="n"/>
      <c r="K14" s="8" t="n"/>
      <c r="L14" s="48">
        <f>IF(OR(K14="",K14="Pendiente"),"",IF(K14="Rechazado",0,IF(K14="Confirmado",IF(I14="","",I14),"")))</f>
        <v/>
      </c>
      <c r="M14" s="8" t="n"/>
      <c r="N14" s="18" t="n"/>
      <c r="O14" s="8" t="n"/>
    </row>
    <row r="15" ht="20" customHeight="1">
      <c r="A15" s="8" t="n"/>
      <c r="B15" s="8" t="n"/>
      <c r="C15" s="8" t="n"/>
      <c r="D15" s="8" t="n"/>
      <c r="E15" s="26" t="n"/>
      <c r="F15" s="8" t="n"/>
      <c r="G15" s="18" t="n"/>
      <c r="H15" s="18" t="n"/>
      <c r="I15" s="48">
        <f>IF(AND(G15="",H15=""),"",N(G15)+N(H15))</f>
        <v/>
      </c>
      <c r="J15" s="8" t="n"/>
      <c r="K15" s="8" t="n"/>
      <c r="L15" s="48">
        <f>IF(OR(K15="",K15="Pendiente"),"",IF(K15="Rechazado",0,IF(K15="Confirmado",IF(I15="","",I15),"")))</f>
        <v/>
      </c>
      <c r="M15" s="8" t="n"/>
      <c r="N15" s="18" t="n"/>
      <c r="O15" s="8" t="n"/>
    </row>
    <row r="16" ht="20" customHeight="1">
      <c r="A16" s="8" t="n"/>
      <c r="B16" s="8" t="n"/>
      <c r="C16" s="8" t="n"/>
      <c r="D16" s="8" t="n"/>
      <c r="E16" s="26" t="n"/>
      <c r="F16" s="8" t="n"/>
      <c r="G16" s="18" t="n"/>
      <c r="H16" s="18" t="n"/>
      <c r="I16" s="48">
        <f>IF(AND(G16="",H16=""),"",N(G16)+N(H16))</f>
        <v/>
      </c>
      <c r="J16" s="8" t="n"/>
      <c r="K16" s="8" t="n"/>
      <c r="L16" s="48">
        <f>IF(OR(K16="",K16="Pendiente"),"",IF(K16="Rechazado",0,IF(K16="Confirmado",IF(I16="","",I16),"")))</f>
        <v/>
      </c>
      <c r="M16" s="8" t="n"/>
      <c r="N16" s="18" t="n"/>
      <c r="O16" s="8" t="n"/>
    </row>
    <row r="17" ht="20" customHeight="1">
      <c r="A17" s="8" t="n"/>
      <c r="B17" s="8" t="n"/>
      <c r="C17" s="8" t="n"/>
      <c r="D17" s="8" t="n"/>
      <c r="E17" s="26" t="n"/>
      <c r="F17" s="8" t="n"/>
      <c r="G17" s="18" t="n"/>
      <c r="H17" s="18" t="n"/>
      <c r="I17" s="48">
        <f>IF(AND(G17="",H17=""),"",N(G17)+N(H17))</f>
        <v/>
      </c>
      <c r="J17" s="8" t="n"/>
      <c r="K17" s="8" t="n"/>
      <c r="L17" s="48">
        <f>IF(OR(K17="",K17="Pendiente"),"",IF(K17="Rechazado",0,IF(K17="Confirmado",IF(I17="","",I17),"")))</f>
        <v/>
      </c>
      <c r="M17" s="8" t="n"/>
      <c r="N17" s="18" t="n"/>
      <c r="O17" s="8" t="n"/>
    </row>
    <row r="18" ht="20" customHeight="1">
      <c r="A18" s="8" t="n"/>
      <c r="B18" s="8" t="n"/>
      <c r="C18" s="8" t="n"/>
      <c r="D18" s="8" t="n"/>
      <c r="E18" s="26" t="n"/>
      <c r="F18" s="8" t="n"/>
      <c r="G18" s="18" t="n"/>
      <c r="H18" s="18" t="n"/>
      <c r="I18" s="48">
        <f>IF(AND(G18="",H18=""),"",N(G18)+N(H18))</f>
        <v/>
      </c>
      <c r="J18" s="8" t="n"/>
      <c r="K18" s="8" t="n"/>
      <c r="L18" s="48">
        <f>IF(OR(K18="",K18="Pendiente"),"",IF(K18="Rechazado",0,IF(K18="Confirmado",IF(I18="","",I18),"")))</f>
        <v/>
      </c>
      <c r="M18" s="8" t="n"/>
      <c r="N18" s="18" t="n"/>
      <c r="O18" s="8" t="n"/>
    </row>
    <row r="19" ht="20" customHeight="1">
      <c r="A19" s="8" t="n"/>
      <c r="B19" s="8" t="n"/>
      <c r="C19" s="8" t="n"/>
      <c r="D19" s="8" t="n"/>
      <c r="E19" s="26" t="n"/>
      <c r="F19" s="8" t="n"/>
      <c r="G19" s="18" t="n"/>
      <c r="H19" s="18" t="n"/>
      <c r="I19" s="48">
        <f>IF(AND(G19="",H19=""),"",N(G19)+N(H19))</f>
        <v/>
      </c>
      <c r="J19" s="8" t="n"/>
      <c r="K19" s="8" t="n"/>
      <c r="L19" s="48">
        <f>IF(OR(K19="",K19="Pendiente"),"",IF(K19="Rechazado",0,IF(K19="Confirmado",IF(I19="","",I19),"")))</f>
        <v/>
      </c>
      <c r="M19" s="8" t="n"/>
      <c r="N19" s="18" t="n"/>
      <c r="O19" s="8" t="n"/>
    </row>
    <row r="20" ht="20" customHeight="1">
      <c r="A20" s="8" t="n"/>
      <c r="B20" s="8" t="n"/>
      <c r="C20" s="8" t="n"/>
      <c r="D20" s="8" t="n"/>
      <c r="E20" s="26" t="n"/>
      <c r="F20" s="8" t="n"/>
      <c r="G20" s="18" t="n"/>
      <c r="H20" s="18" t="n"/>
      <c r="I20" s="48">
        <f>IF(AND(G20="",H20=""),"",N(G20)+N(H20))</f>
        <v/>
      </c>
      <c r="J20" s="8" t="n"/>
      <c r="K20" s="8" t="n"/>
      <c r="L20" s="48">
        <f>IF(OR(K20="",K20="Pendiente"),"",IF(K20="Rechazado",0,IF(K20="Confirmado",IF(I20="","",I20),"")))</f>
        <v/>
      </c>
      <c r="M20" s="8" t="n"/>
      <c r="N20" s="18" t="n"/>
      <c r="O20" s="8" t="n"/>
    </row>
    <row r="21" ht="20" customHeight="1">
      <c r="A21" s="8" t="n"/>
      <c r="B21" s="8" t="n"/>
      <c r="C21" s="8" t="n"/>
      <c r="D21" s="8" t="n"/>
      <c r="E21" s="26" t="n"/>
      <c r="F21" s="8" t="n"/>
      <c r="G21" s="18" t="n"/>
      <c r="H21" s="18" t="n"/>
      <c r="I21" s="48">
        <f>IF(AND(G21="",H21=""),"",N(G21)+N(H21))</f>
        <v/>
      </c>
      <c r="J21" s="8" t="n"/>
      <c r="K21" s="8" t="n"/>
      <c r="L21" s="48">
        <f>IF(OR(K21="",K21="Pendiente"),"",IF(K21="Rechazado",0,IF(K21="Confirmado",IF(I21="","",I21),"")))</f>
        <v/>
      </c>
      <c r="M21" s="8" t="n"/>
      <c r="N21" s="18" t="n"/>
      <c r="O21" s="8" t="n"/>
    </row>
    <row r="22" ht="20" customHeight="1">
      <c r="A22" s="8" t="n"/>
      <c r="B22" s="8" t="n"/>
      <c r="C22" s="8" t="n"/>
      <c r="D22" s="8" t="n"/>
      <c r="E22" s="26" t="n"/>
      <c r="F22" s="8" t="n"/>
      <c r="G22" s="18" t="n"/>
      <c r="H22" s="18" t="n"/>
      <c r="I22" s="48">
        <f>IF(AND(G22="",H22=""),"",N(G22)+N(H22))</f>
        <v/>
      </c>
      <c r="J22" s="8" t="n"/>
      <c r="K22" s="8" t="n"/>
      <c r="L22" s="48">
        <f>IF(OR(K22="",K22="Pendiente"),"",IF(K22="Rechazado",0,IF(K22="Confirmado",IF(I22="","",I22),"")))</f>
        <v/>
      </c>
      <c r="M22" s="8" t="n"/>
      <c r="N22" s="18" t="n"/>
      <c r="O22" s="8" t="n"/>
    </row>
    <row r="23" ht="20" customHeight="1">
      <c r="A23" s="8" t="n"/>
      <c r="B23" s="8" t="n"/>
      <c r="C23" s="8" t="n"/>
      <c r="D23" s="8" t="n"/>
      <c r="E23" s="26" t="n"/>
      <c r="F23" s="8" t="n"/>
      <c r="G23" s="18" t="n"/>
      <c r="H23" s="18" t="n"/>
      <c r="I23" s="48">
        <f>IF(AND(G23="",H23=""),"",N(G23)+N(H23))</f>
        <v/>
      </c>
      <c r="J23" s="8" t="n"/>
      <c r="K23" s="8" t="n"/>
      <c r="L23" s="48">
        <f>IF(OR(K23="",K23="Pendiente"),"",IF(K23="Rechazado",0,IF(K23="Confirmado",IF(I23="","",I23),"")))</f>
        <v/>
      </c>
      <c r="M23" s="8" t="n"/>
      <c r="N23" s="18" t="n"/>
      <c r="O23" s="8" t="n"/>
    </row>
    <row r="24" ht="20" customHeight="1">
      <c r="A24" s="8" t="n"/>
      <c r="B24" s="8" t="n"/>
      <c r="C24" s="8" t="n"/>
      <c r="D24" s="8" t="n"/>
      <c r="E24" s="26" t="n"/>
      <c r="F24" s="8" t="n"/>
      <c r="G24" s="18" t="n"/>
      <c r="H24" s="18" t="n"/>
      <c r="I24" s="48">
        <f>IF(AND(G24="",H24=""),"",N(G24)+N(H24))</f>
        <v/>
      </c>
      <c r="J24" s="8" t="n"/>
      <c r="K24" s="8" t="n"/>
      <c r="L24" s="48">
        <f>IF(OR(K24="",K24="Pendiente"),"",IF(K24="Rechazado",0,IF(K24="Confirmado",IF(I24="","",I24),"")))</f>
        <v/>
      </c>
      <c r="M24" s="8" t="n"/>
      <c r="N24" s="18" t="n"/>
      <c r="O24" s="8" t="n"/>
    </row>
    <row r="25" ht="20" customHeight="1">
      <c r="A25" s="8" t="n"/>
      <c r="B25" s="8" t="n"/>
      <c r="C25" s="8" t="n"/>
      <c r="D25" s="8" t="n"/>
      <c r="E25" s="26" t="n"/>
      <c r="F25" s="8" t="n"/>
      <c r="G25" s="18" t="n"/>
      <c r="H25" s="18" t="n"/>
      <c r="I25" s="48">
        <f>IF(AND(G25="",H25=""),"",N(G25)+N(H25))</f>
        <v/>
      </c>
      <c r="J25" s="8" t="n"/>
      <c r="K25" s="8" t="n"/>
      <c r="L25" s="48">
        <f>IF(OR(K25="",K25="Pendiente"),"",IF(K25="Rechazado",0,IF(K25="Confirmado",IF(I25="","",I25),"")))</f>
        <v/>
      </c>
      <c r="M25" s="8" t="n"/>
      <c r="N25" s="18" t="n"/>
      <c r="O25" s="8" t="n"/>
    </row>
    <row r="26" ht="20" customHeight="1">
      <c r="A26" s="8" t="n"/>
      <c r="B26" s="8" t="n"/>
      <c r="C26" s="8" t="n"/>
      <c r="D26" s="8" t="n"/>
      <c r="E26" s="26" t="n"/>
      <c r="F26" s="8" t="n"/>
      <c r="G26" s="18" t="n"/>
      <c r="H26" s="18" t="n"/>
      <c r="I26" s="48">
        <f>IF(AND(G26="",H26=""),"",N(G26)+N(H26))</f>
        <v/>
      </c>
      <c r="J26" s="8" t="n"/>
      <c r="K26" s="8" t="n"/>
      <c r="L26" s="48">
        <f>IF(OR(K26="",K26="Pendiente"),"",IF(K26="Rechazado",0,IF(K26="Confirmado",IF(I26="","",I26),"")))</f>
        <v/>
      </c>
      <c r="M26" s="8" t="n"/>
      <c r="N26" s="18" t="n"/>
      <c r="O26" s="8" t="n"/>
    </row>
    <row r="27" ht="20" customHeight="1">
      <c r="A27" s="8" t="n"/>
      <c r="B27" s="8" t="n"/>
      <c r="C27" s="8" t="n"/>
      <c r="D27" s="8" t="n"/>
      <c r="E27" s="26" t="n"/>
      <c r="F27" s="8" t="n"/>
      <c r="G27" s="18" t="n"/>
      <c r="H27" s="18" t="n"/>
      <c r="I27" s="48">
        <f>IF(AND(G27="",H27=""),"",N(G27)+N(H27))</f>
        <v/>
      </c>
      <c r="J27" s="8" t="n"/>
      <c r="K27" s="8" t="n"/>
      <c r="L27" s="48">
        <f>IF(OR(K27="",K27="Pendiente"),"",IF(K27="Rechazado",0,IF(K27="Confirmado",IF(I27="","",I27),"")))</f>
        <v/>
      </c>
      <c r="M27" s="8" t="n"/>
      <c r="N27" s="18" t="n"/>
      <c r="O27" s="8" t="n"/>
    </row>
    <row r="28" ht="20" customHeight="1">
      <c r="A28" s="8" t="n"/>
      <c r="B28" s="8" t="n"/>
      <c r="C28" s="8" t="n"/>
      <c r="D28" s="8" t="n"/>
      <c r="E28" s="26" t="n"/>
      <c r="F28" s="8" t="n"/>
      <c r="G28" s="18" t="n"/>
      <c r="H28" s="18" t="n"/>
      <c r="I28" s="48">
        <f>IF(AND(G28="",H28=""),"",N(G28)+N(H28))</f>
        <v/>
      </c>
      <c r="J28" s="8" t="n"/>
      <c r="K28" s="8" t="n"/>
      <c r="L28" s="48">
        <f>IF(OR(K28="",K28="Pendiente"),"",IF(K28="Rechazado",0,IF(K28="Confirmado",IF(I28="","",I28),"")))</f>
        <v/>
      </c>
      <c r="M28" s="8" t="n"/>
      <c r="N28" s="18" t="n"/>
      <c r="O28" s="8" t="n"/>
    </row>
    <row r="29" ht="20" customHeight="1">
      <c r="A29" s="8" t="n"/>
      <c r="B29" s="8" t="n"/>
      <c r="C29" s="8" t="n"/>
      <c r="D29" s="8" t="n"/>
      <c r="E29" s="26" t="n"/>
      <c r="F29" s="8" t="n"/>
      <c r="G29" s="18" t="n"/>
      <c r="H29" s="18" t="n"/>
      <c r="I29" s="48">
        <f>IF(AND(G29="",H29=""),"",N(G29)+N(H29))</f>
        <v/>
      </c>
      <c r="J29" s="8" t="n"/>
      <c r="K29" s="8" t="n"/>
      <c r="L29" s="48">
        <f>IF(OR(K29="",K29="Pendiente"),"",IF(K29="Rechazado",0,IF(K29="Confirmado",IF(I29="","",I29),"")))</f>
        <v/>
      </c>
      <c r="M29" s="8" t="n"/>
      <c r="N29" s="18" t="n"/>
      <c r="O29" s="8" t="n"/>
    </row>
    <row r="30" ht="20" customHeight="1">
      <c r="A30" s="8" t="n"/>
      <c r="B30" s="8" t="n"/>
      <c r="C30" s="8" t="n"/>
      <c r="D30" s="8" t="n"/>
      <c r="E30" s="26" t="n"/>
      <c r="F30" s="8" t="n"/>
      <c r="G30" s="18" t="n"/>
      <c r="H30" s="18" t="n"/>
      <c r="I30" s="48">
        <f>IF(AND(G30="",H30=""),"",N(G30)+N(H30))</f>
        <v/>
      </c>
      <c r="J30" s="8" t="n"/>
      <c r="K30" s="8" t="n"/>
      <c r="L30" s="48">
        <f>IF(OR(K30="",K30="Pendiente"),"",IF(K30="Rechazado",0,IF(K30="Confirmado",IF(I30="","",I30),"")))</f>
        <v/>
      </c>
      <c r="M30" s="8" t="n"/>
      <c r="N30" s="18" t="n"/>
      <c r="O30" s="8" t="n"/>
    </row>
    <row r="31" ht="20" customHeight="1">
      <c r="A31" s="8" t="n"/>
      <c r="B31" s="8" t="n"/>
      <c r="C31" s="8" t="n"/>
      <c r="D31" s="8" t="n"/>
      <c r="E31" s="26" t="n"/>
      <c r="F31" s="8" t="n"/>
      <c r="G31" s="18" t="n"/>
      <c r="H31" s="18" t="n"/>
      <c r="I31" s="48">
        <f>IF(AND(G31="",H31=""),"",N(G31)+N(H31))</f>
        <v/>
      </c>
      <c r="J31" s="8" t="n"/>
      <c r="K31" s="8" t="n"/>
      <c r="L31" s="48">
        <f>IF(OR(K31="",K31="Pendiente"),"",IF(K31="Rechazado",0,IF(K31="Confirmado",IF(I31="","",I31),"")))</f>
        <v/>
      </c>
      <c r="M31" s="8" t="n"/>
      <c r="N31" s="18" t="n"/>
      <c r="O31" s="8" t="n"/>
    </row>
    <row r="32" ht="20" customHeight="1">
      <c r="A32" s="8" t="n"/>
      <c r="B32" s="8" t="n"/>
      <c r="C32" s="8" t="n"/>
      <c r="D32" s="8" t="n"/>
      <c r="E32" s="26" t="n"/>
      <c r="F32" s="8" t="n"/>
      <c r="G32" s="18" t="n"/>
      <c r="H32" s="18" t="n"/>
      <c r="I32" s="48">
        <f>IF(AND(G32="",H32=""),"",N(G32)+N(H32))</f>
        <v/>
      </c>
      <c r="J32" s="8" t="n"/>
      <c r="K32" s="8" t="n"/>
      <c r="L32" s="48">
        <f>IF(OR(K32="",K32="Pendiente"),"",IF(K32="Rechazado",0,IF(K32="Confirmado",IF(I32="","",I32),"")))</f>
        <v/>
      </c>
      <c r="M32" s="8" t="n"/>
      <c r="N32" s="18" t="n"/>
      <c r="O32" s="8" t="n"/>
    </row>
    <row r="33" ht="20" customHeight="1">
      <c r="A33" s="8" t="n"/>
      <c r="B33" s="8" t="n"/>
      <c r="C33" s="8" t="n"/>
      <c r="D33" s="8" t="n"/>
      <c r="E33" s="26" t="n"/>
      <c r="F33" s="8" t="n"/>
      <c r="G33" s="18" t="n"/>
      <c r="H33" s="18" t="n"/>
      <c r="I33" s="48">
        <f>IF(AND(G33="",H33=""),"",N(G33)+N(H33))</f>
        <v/>
      </c>
      <c r="J33" s="8" t="n"/>
      <c r="K33" s="8" t="n"/>
      <c r="L33" s="48">
        <f>IF(OR(K33="",K33="Pendiente"),"",IF(K33="Rechazado",0,IF(K33="Confirmado",IF(I33="","",I33),"")))</f>
        <v/>
      </c>
      <c r="M33" s="8" t="n"/>
      <c r="N33" s="18" t="n"/>
      <c r="O33" s="8" t="n"/>
    </row>
    <row r="34" ht="20" customHeight="1">
      <c r="A34" s="8" t="n"/>
      <c r="B34" s="8" t="n"/>
      <c r="C34" s="8" t="n"/>
      <c r="D34" s="8" t="n"/>
      <c r="E34" s="26" t="n"/>
      <c r="F34" s="8" t="n"/>
      <c r="G34" s="18" t="n"/>
      <c r="H34" s="18" t="n"/>
      <c r="I34" s="48">
        <f>IF(AND(G34="",H34=""),"",N(G34)+N(H34))</f>
        <v/>
      </c>
      <c r="J34" s="8" t="n"/>
      <c r="K34" s="8" t="n"/>
      <c r="L34" s="48">
        <f>IF(OR(K34="",K34="Pendiente"),"",IF(K34="Rechazado",0,IF(K34="Confirmado",IF(I34="","",I34),"")))</f>
        <v/>
      </c>
      <c r="M34" s="8" t="n"/>
      <c r="N34" s="18" t="n"/>
      <c r="O34" s="8" t="n"/>
    </row>
    <row r="35" ht="20" customHeight="1">
      <c r="A35" s="8" t="n"/>
      <c r="B35" s="8" t="n"/>
      <c r="C35" s="8" t="n"/>
      <c r="D35" s="8" t="n"/>
      <c r="E35" s="26" t="n"/>
      <c r="F35" s="8" t="n"/>
      <c r="G35" s="18" t="n"/>
      <c r="H35" s="18" t="n"/>
      <c r="I35" s="48">
        <f>IF(AND(G35="",H35=""),"",N(G35)+N(H35))</f>
        <v/>
      </c>
      <c r="J35" s="8" t="n"/>
      <c r="K35" s="8" t="n"/>
      <c r="L35" s="48">
        <f>IF(OR(K35="",K35="Pendiente"),"",IF(K35="Rechazado",0,IF(K35="Confirmado",IF(I35="","",I35),"")))</f>
        <v/>
      </c>
      <c r="M35" s="8" t="n"/>
      <c r="N35" s="18" t="n"/>
      <c r="O35" s="8" t="n"/>
    </row>
    <row r="36" ht="20" customHeight="1">
      <c r="A36" s="8" t="n"/>
      <c r="B36" s="8" t="n"/>
      <c r="C36" s="8" t="n"/>
      <c r="D36" s="8" t="n"/>
      <c r="E36" s="26" t="n"/>
      <c r="F36" s="8" t="n"/>
      <c r="G36" s="18" t="n"/>
      <c r="H36" s="18" t="n"/>
      <c r="I36" s="48">
        <f>IF(AND(G36="",H36=""),"",N(G36)+N(H36))</f>
        <v/>
      </c>
      <c r="J36" s="8" t="n"/>
      <c r="K36" s="8" t="n"/>
      <c r="L36" s="48">
        <f>IF(OR(K36="",K36="Pendiente"),"",IF(K36="Rechazado",0,IF(K36="Confirmado",IF(I36="","",I36),"")))</f>
        <v/>
      </c>
      <c r="M36" s="8" t="n"/>
      <c r="N36" s="18" t="n"/>
      <c r="O36" s="8" t="n"/>
    </row>
    <row r="37" ht="20" customHeight="1">
      <c r="A37" s="8" t="n"/>
      <c r="B37" s="8" t="n"/>
      <c r="C37" s="8" t="n"/>
      <c r="D37" s="8" t="n"/>
      <c r="E37" s="26" t="n"/>
      <c r="F37" s="8" t="n"/>
      <c r="G37" s="18" t="n"/>
      <c r="H37" s="18" t="n"/>
      <c r="I37" s="48">
        <f>IF(AND(G37="",H37=""),"",N(G37)+N(H37))</f>
        <v/>
      </c>
      <c r="J37" s="8" t="n"/>
      <c r="K37" s="8" t="n"/>
      <c r="L37" s="48">
        <f>IF(OR(K37="",K37="Pendiente"),"",IF(K37="Rechazado",0,IF(K37="Confirmado",IF(I37="","",I37),"")))</f>
        <v/>
      </c>
      <c r="M37" s="8" t="n"/>
      <c r="N37" s="18" t="n"/>
      <c r="O37" s="8" t="n"/>
    </row>
    <row r="38" ht="20" customHeight="1">
      <c r="A38" s="8" t="n"/>
      <c r="B38" s="8" t="n"/>
      <c r="C38" s="8" t="n"/>
      <c r="D38" s="8" t="n"/>
      <c r="E38" s="26" t="n"/>
      <c r="F38" s="8" t="n"/>
      <c r="G38" s="18" t="n"/>
      <c r="H38" s="18" t="n"/>
      <c r="I38" s="48">
        <f>IF(AND(G38="",H38=""),"",N(G38)+N(H38))</f>
        <v/>
      </c>
      <c r="J38" s="8" t="n"/>
      <c r="K38" s="8" t="n"/>
      <c r="L38" s="48">
        <f>IF(OR(K38="",K38="Pendiente"),"",IF(K38="Rechazado",0,IF(K38="Confirmado",IF(I38="","",I38),"")))</f>
        <v/>
      </c>
      <c r="M38" s="8" t="n"/>
      <c r="N38" s="18" t="n"/>
      <c r="O38" s="8" t="n"/>
    </row>
    <row r="39" ht="20" customHeight="1">
      <c r="A39" s="8" t="n"/>
      <c r="B39" s="8" t="n"/>
      <c r="C39" s="8" t="n"/>
      <c r="D39" s="8" t="n"/>
      <c r="E39" s="26" t="n"/>
      <c r="F39" s="8" t="n"/>
      <c r="G39" s="18" t="n"/>
      <c r="H39" s="18" t="n"/>
      <c r="I39" s="48">
        <f>IF(AND(G39="",H39=""),"",N(G39)+N(H39))</f>
        <v/>
      </c>
      <c r="J39" s="8" t="n"/>
      <c r="K39" s="8" t="n"/>
      <c r="L39" s="48">
        <f>IF(OR(K39="",K39="Pendiente"),"",IF(K39="Rechazado",0,IF(K39="Confirmado",IF(I39="","",I39),"")))</f>
        <v/>
      </c>
      <c r="M39" s="8" t="n"/>
      <c r="N39" s="18" t="n"/>
      <c r="O39" s="8" t="n"/>
    </row>
    <row r="40" ht="20" customHeight="1">
      <c r="A40" s="8" t="n"/>
      <c r="B40" s="8" t="n"/>
      <c r="C40" s="8" t="n"/>
      <c r="D40" s="8" t="n"/>
      <c r="E40" s="26" t="n"/>
      <c r="F40" s="8" t="n"/>
      <c r="G40" s="18" t="n"/>
      <c r="H40" s="18" t="n"/>
      <c r="I40" s="48">
        <f>IF(AND(G40="",H40=""),"",N(G40)+N(H40))</f>
        <v/>
      </c>
      <c r="J40" s="8" t="n"/>
      <c r="K40" s="8" t="n"/>
      <c r="L40" s="48">
        <f>IF(OR(K40="",K40="Pendiente"),"",IF(K40="Rechazado",0,IF(K40="Confirmado",IF(I40="","",I40),"")))</f>
        <v/>
      </c>
      <c r="M40" s="8" t="n"/>
      <c r="N40" s="18" t="n"/>
      <c r="O40" s="8" t="n"/>
    </row>
    <row r="41" ht="20" customHeight="1">
      <c r="A41" s="8" t="n"/>
      <c r="B41" s="8" t="n"/>
      <c r="C41" s="8" t="n"/>
      <c r="D41" s="8" t="n"/>
      <c r="E41" s="26" t="n"/>
      <c r="F41" s="8" t="n"/>
      <c r="G41" s="18" t="n"/>
      <c r="H41" s="18" t="n"/>
      <c r="I41" s="48">
        <f>IF(AND(G41="",H41=""),"",N(G41)+N(H41))</f>
        <v/>
      </c>
      <c r="J41" s="8" t="n"/>
      <c r="K41" s="8" t="n"/>
      <c r="L41" s="48">
        <f>IF(OR(K41="",K41="Pendiente"),"",IF(K41="Rechazado",0,IF(K41="Confirmado",IF(I41="","",I41),"")))</f>
        <v/>
      </c>
      <c r="M41" s="8" t="n"/>
      <c r="N41" s="18" t="n"/>
      <c r="O41" s="8" t="n"/>
    </row>
    <row r="42" ht="20" customHeight="1">
      <c r="A42" s="8" t="n"/>
      <c r="B42" s="8" t="n"/>
      <c r="C42" s="8" t="n"/>
      <c r="D42" s="8" t="n"/>
      <c r="E42" s="26" t="n"/>
      <c r="F42" s="8" t="n"/>
      <c r="G42" s="18" t="n"/>
      <c r="H42" s="18" t="n"/>
      <c r="I42" s="48">
        <f>IF(AND(G42="",H42=""),"",N(G42)+N(H42))</f>
        <v/>
      </c>
      <c r="J42" s="8" t="n"/>
      <c r="K42" s="8" t="n"/>
      <c r="L42" s="48">
        <f>IF(OR(K42="",K42="Pendiente"),"",IF(K42="Rechazado",0,IF(K42="Confirmado",IF(I42="","",I42),"")))</f>
        <v/>
      </c>
      <c r="M42" s="8" t="n"/>
      <c r="N42" s="18" t="n"/>
      <c r="O42" s="8" t="n"/>
    </row>
    <row r="43" ht="20" customHeight="1">
      <c r="A43" s="8" t="n"/>
      <c r="B43" s="8" t="n"/>
      <c r="C43" s="8" t="n"/>
      <c r="D43" s="8" t="n"/>
      <c r="E43" s="26" t="n"/>
      <c r="F43" s="8" t="n"/>
      <c r="G43" s="18" t="n"/>
      <c r="H43" s="18" t="n"/>
      <c r="I43" s="48">
        <f>IF(AND(G43="",H43=""),"",N(G43)+N(H43))</f>
        <v/>
      </c>
      <c r="J43" s="8" t="n"/>
      <c r="K43" s="8" t="n"/>
      <c r="L43" s="48">
        <f>IF(OR(K43="",K43="Pendiente"),"",IF(K43="Rechazado",0,IF(K43="Confirmado",IF(I43="","",I43),"")))</f>
        <v/>
      </c>
      <c r="M43" s="8" t="n"/>
      <c r="N43" s="18" t="n"/>
      <c r="O43" s="8" t="n"/>
    </row>
    <row r="44" ht="20" customHeight="1">
      <c r="A44" s="8" t="n"/>
      <c r="B44" s="8" t="n"/>
      <c r="C44" s="8" t="n"/>
      <c r="D44" s="8" t="n"/>
      <c r="E44" s="26" t="n"/>
      <c r="F44" s="8" t="n"/>
      <c r="G44" s="18" t="n"/>
      <c r="H44" s="18" t="n"/>
      <c r="I44" s="48">
        <f>IF(AND(G44="",H44=""),"",N(G44)+N(H44))</f>
        <v/>
      </c>
      <c r="J44" s="8" t="n"/>
      <c r="K44" s="8" t="n"/>
      <c r="L44" s="48">
        <f>IF(OR(K44="",K44="Pendiente"),"",IF(K44="Rechazado",0,IF(K44="Confirmado",IF(I44="","",I44),"")))</f>
        <v/>
      </c>
      <c r="M44" s="8" t="n"/>
      <c r="N44" s="18" t="n"/>
      <c r="O44" s="8" t="n"/>
    </row>
    <row r="45" ht="20" customHeight="1">
      <c r="A45" s="8" t="n"/>
      <c r="B45" s="8" t="n"/>
      <c r="C45" s="8" t="n"/>
      <c r="D45" s="8" t="n"/>
      <c r="E45" s="26" t="n"/>
      <c r="F45" s="8" t="n"/>
      <c r="G45" s="18" t="n"/>
      <c r="H45" s="18" t="n"/>
      <c r="I45" s="48">
        <f>IF(AND(G45="",H45=""),"",N(G45)+N(H45))</f>
        <v/>
      </c>
      <c r="J45" s="8" t="n"/>
      <c r="K45" s="8" t="n"/>
      <c r="L45" s="48">
        <f>IF(OR(K45="",K45="Pendiente"),"",IF(K45="Rechazado",0,IF(K45="Confirmado",IF(I45="","",I45),"")))</f>
        <v/>
      </c>
      <c r="M45" s="8" t="n"/>
      <c r="N45" s="18" t="n"/>
      <c r="O45" s="8" t="n"/>
    </row>
    <row r="46" ht="20" customHeight="1">
      <c r="A46" s="8" t="n"/>
      <c r="B46" s="8" t="n"/>
      <c r="C46" s="8" t="n"/>
      <c r="D46" s="8" t="n"/>
      <c r="E46" s="26" t="n"/>
      <c r="F46" s="8" t="n"/>
      <c r="G46" s="18" t="n"/>
      <c r="H46" s="18" t="n"/>
      <c r="I46" s="48">
        <f>IF(AND(G46="",H46=""),"",N(G46)+N(H46))</f>
        <v/>
      </c>
      <c r="J46" s="8" t="n"/>
      <c r="K46" s="8" t="n"/>
      <c r="L46" s="48">
        <f>IF(OR(K46="",K46="Pendiente"),"",IF(K46="Rechazado",0,IF(K46="Confirmado",IF(I46="","",I46),"")))</f>
        <v/>
      </c>
      <c r="M46" s="8" t="n"/>
      <c r="N46" s="18" t="n"/>
      <c r="O46" s="8" t="n"/>
    </row>
    <row r="47" ht="20" customHeight="1">
      <c r="A47" s="8" t="n"/>
      <c r="B47" s="8" t="n"/>
      <c r="C47" s="8" t="n"/>
      <c r="D47" s="8" t="n"/>
      <c r="E47" s="26" t="n"/>
      <c r="F47" s="8" t="n"/>
      <c r="G47" s="18" t="n"/>
      <c r="H47" s="18" t="n"/>
      <c r="I47" s="48">
        <f>IF(AND(G47="",H47=""),"",N(G47)+N(H47))</f>
        <v/>
      </c>
      <c r="J47" s="8" t="n"/>
      <c r="K47" s="8" t="n"/>
      <c r="L47" s="48">
        <f>IF(OR(K47="",K47="Pendiente"),"",IF(K47="Rechazado",0,IF(K47="Confirmado",IF(I47="","",I47),"")))</f>
        <v/>
      </c>
      <c r="M47" s="8" t="n"/>
      <c r="N47" s="18" t="n"/>
      <c r="O47" s="8" t="n"/>
    </row>
    <row r="48" ht="20" customHeight="1">
      <c r="A48" s="8" t="n"/>
      <c r="B48" s="8" t="n"/>
      <c r="C48" s="8" t="n"/>
      <c r="D48" s="8" t="n"/>
      <c r="E48" s="26" t="n"/>
      <c r="F48" s="8" t="n"/>
      <c r="G48" s="18" t="n"/>
      <c r="H48" s="18" t="n"/>
      <c r="I48" s="48">
        <f>IF(AND(G48="",H48=""),"",N(G48)+N(H48))</f>
        <v/>
      </c>
      <c r="J48" s="8" t="n"/>
      <c r="K48" s="8" t="n"/>
      <c r="L48" s="48">
        <f>IF(OR(K48="",K48="Pendiente"),"",IF(K48="Rechazado",0,IF(K48="Confirmado",IF(I48="","",I48),"")))</f>
        <v/>
      </c>
      <c r="M48" s="8" t="n"/>
      <c r="N48" s="18" t="n"/>
      <c r="O48" s="8" t="n"/>
    </row>
    <row r="49" ht="20" customHeight="1">
      <c r="A49" s="8" t="n"/>
      <c r="B49" s="8" t="n"/>
      <c r="C49" s="8" t="n"/>
      <c r="D49" s="8" t="n"/>
      <c r="E49" s="26" t="n"/>
      <c r="F49" s="8" t="n"/>
      <c r="G49" s="18" t="n"/>
      <c r="H49" s="18" t="n"/>
      <c r="I49" s="48">
        <f>IF(AND(G49="",H49=""),"",N(G49)+N(H49))</f>
        <v/>
      </c>
      <c r="J49" s="8" t="n"/>
      <c r="K49" s="8" t="n"/>
      <c r="L49" s="48">
        <f>IF(OR(K49="",K49="Pendiente"),"",IF(K49="Rechazado",0,IF(K49="Confirmado",IF(I49="","",I49),"")))</f>
        <v/>
      </c>
      <c r="M49" s="8" t="n"/>
      <c r="N49" s="18" t="n"/>
      <c r="O49" s="8" t="n"/>
    </row>
    <row r="50" ht="20" customHeight="1">
      <c r="A50" s="8" t="n"/>
      <c r="B50" s="8" t="n"/>
      <c r="C50" s="8" t="n"/>
      <c r="D50" s="8" t="n"/>
      <c r="E50" s="26" t="n"/>
      <c r="F50" s="8" t="n"/>
      <c r="G50" s="18" t="n"/>
      <c r="H50" s="18" t="n"/>
      <c r="I50" s="48">
        <f>IF(AND(G50="",H50=""),"",N(G50)+N(H50))</f>
        <v/>
      </c>
      <c r="J50" s="8" t="n"/>
      <c r="K50" s="8" t="n"/>
      <c r="L50" s="48">
        <f>IF(OR(K50="",K50="Pendiente"),"",IF(K50="Rechazado",0,IF(K50="Confirmado",IF(I50="","",I50),"")))</f>
        <v/>
      </c>
      <c r="M50" s="8" t="n"/>
      <c r="N50" s="18" t="n"/>
      <c r="O50" s="8" t="n"/>
    </row>
    <row r="51" ht="20" customHeight="1">
      <c r="A51" s="8" t="n"/>
      <c r="B51" s="8" t="n"/>
      <c r="C51" s="8" t="n"/>
      <c r="D51" s="8" t="n"/>
      <c r="E51" s="26" t="n"/>
      <c r="F51" s="8" t="n"/>
      <c r="G51" s="18" t="n"/>
      <c r="H51" s="18" t="n"/>
      <c r="I51" s="48">
        <f>IF(AND(G51="",H51=""),"",N(G51)+N(H51))</f>
        <v/>
      </c>
      <c r="J51" s="8" t="n"/>
      <c r="K51" s="8" t="n"/>
      <c r="L51" s="48">
        <f>IF(OR(K51="",K51="Pendiente"),"",IF(K51="Rechazado",0,IF(K51="Confirmado",IF(I51="","",I51),"")))</f>
        <v/>
      </c>
      <c r="M51" s="8" t="n"/>
      <c r="N51" s="18" t="n"/>
      <c r="O51" s="8" t="n"/>
    </row>
    <row r="52" ht="20" customHeight="1">
      <c r="A52" s="8" t="n"/>
      <c r="B52" s="8" t="n"/>
      <c r="C52" s="8" t="n"/>
      <c r="D52" s="8" t="n"/>
      <c r="E52" s="26" t="n"/>
      <c r="F52" s="8" t="n"/>
      <c r="G52" s="18" t="n"/>
      <c r="H52" s="18" t="n"/>
      <c r="I52" s="48">
        <f>IF(AND(G52="",H52=""),"",N(G52)+N(H52))</f>
        <v/>
      </c>
      <c r="J52" s="8" t="n"/>
      <c r="K52" s="8" t="n"/>
      <c r="L52" s="48">
        <f>IF(OR(K52="",K52="Pendiente"),"",IF(K52="Rechazado",0,IF(K52="Confirmado",IF(I52="","",I52),"")))</f>
        <v/>
      </c>
      <c r="M52" s="8" t="n"/>
      <c r="N52" s="18" t="n"/>
      <c r="O52" s="8" t="n"/>
    </row>
    <row r="53" ht="20" customHeight="1">
      <c r="A53" s="8" t="n"/>
      <c r="B53" s="8" t="n"/>
      <c r="C53" s="8" t="n"/>
      <c r="D53" s="8" t="n"/>
      <c r="E53" s="26" t="n"/>
      <c r="F53" s="8" t="n"/>
      <c r="G53" s="18" t="n"/>
      <c r="H53" s="18" t="n"/>
      <c r="I53" s="48">
        <f>IF(AND(G53="",H53=""),"",N(G53)+N(H53))</f>
        <v/>
      </c>
      <c r="J53" s="8" t="n"/>
      <c r="K53" s="8" t="n"/>
      <c r="L53" s="48">
        <f>IF(OR(K53="",K53="Pendiente"),"",IF(K53="Rechazado",0,IF(K53="Confirmado",IF(I53="","",I53),"")))</f>
        <v/>
      </c>
      <c r="M53" s="8" t="n"/>
      <c r="N53" s="18" t="n"/>
      <c r="O53" s="8" t="n"/>
    </row>
    <row r="54" ht="20" customHeight="1">
      <c r="A54" s="8" t="n"/>
      <c r="B54" s="8" t="n"/>
      <c r="C54" s="8" t="n"/>
      <c r="D54" s="8" t="n"/>
      <c r="E54" s="26" t="n"/>
      <c r="F54" s="8" t="n"/>
      <c r="G54" s="18" t="n"/>
      <c r="H54" s="18" t="n"/>
      <c r="I54" s="48">
        <f>IF(AND(G54="",H54=""),"",N(G54)+N(H54))</f>
        <v/>
      </c>
      <c r="J54" s="8" t="n"/>
      <c r="K54" s="8" t="n"/>
      <c r="L54" s="48">
        <f>IF(OR(K54="",K54="Pendiente"),"",IF(K54="Rechazado",0,IF(K54="Confirmado",IF(I54="","",I54),"")))</f>
        <v/>
      </c>
      <c r="M54" s="8" t="n"/>
      <c r="N54" s="18" t="n"/>
      <c r="O54" s="8" t="n"/>
    </row>
    <row r="55" ht="20" customHeight="1">
      <c r="A55" s="8" t="n"/>
      <c r="B55" s="8" t="n"/>
      <c r="C55" s="8" t="n"/>
      <c r="D55" s="8" t="n"/>
      <c r="E55" s="26" t="n"/>
      <c r="F55" s="8" t="n"/>
      <c r="G55" s="18" t="n"/>
      <c r="H55" s="18" t="n"/>
      <c r="I55" s="48">
        <f>IF(AND(G55="",H55=""),"",N(G55)+N(H55))</f>
        <v/>
      </c>
      <c r="J55" s="8" t="n"/>
      <c r="K55" s="8" t="n"/>
      <c r="L55" s="48">
        <f>IF(OR(K55="",K55="Pendiente"),"",IF(K55="Rechazado",0,IF(K55="Confirmado",IF(I55="","",I55),"")))</f>
        <v/>
      </c>
      <c r="M55" s="8" t="n"/>
      <c r="N55" s="18" t="n"/>
      <c r="O55" s="8" t="n"/>
    </row>
    <row r="56" ht="20" customHeight="1">
      <c r="A56" s="8" t="n"/>
      <c r="B56" s="8" t="n"/>
      <c r="C56" s="8" t="n"/>
      <c r="D56" s="8" t="n"/>
      <c r="E56" s="26" t="n"/>
      <c r="F56" s="8" t="n"/>
      <c r="G56" s="18" t="n"/>
      <c r="H56" s="18" t="n"/>
      <c r="I56" s="48">
        <f>IF(AND(G56="",H56=""),"",N(G56)+N(H56))</f>
        <v/>
      </c>
      <c r="J56" s="8" t="n"/>
      <c r="K56" s="8" t="n"/>
      <c r="L56" s="48">
        <f>IF(OR(K56="",K56="Pendiente"),"",IF(K56="Rechazado",0,IF(K56="Confirmado",IF(I56="","",I56),"")))</f>
        <v/>
      </c>
      <c r="M56" s="8" t="n"/>
      <c r="N56" s="18" t="n"/>
      <c r="O56" s="8" t="n"/>
    </row>
    <row r="57" ht="20" customHeight="1">
      <c r="A57" s="8" t="n"/>
      <c r="B57" s="8" t="n"/>
      <c r="C57" s="8" t="n"/>
      <c r="D57" s="8" t="n"/>
      <c r="E57" s="26" t="n"/>
      <c r="F57" s="8" t="n"/>
      <c r="G57" s="18" t="n"/>
      <c r="H57" s="18" t="n"/>
      <c r="I57" s="48">
        <f>IF(AND(G57="",H57=""),"",N(G57)+N(H57))</f>
        <v/>
      </c>
      <c r="J57" s="8" t="n"/>
      <c r="K57" s="8" t="n"/>
      <c r="L57" s="48">
        <f>IF(OR(K57="",K57="Pendiente"),"",IF(K57="Rechazado",0,IF(K57="Confirmado",IF(I57="","",I57),"")))</f>
        <v/>
      </c>
      <c r="M57" s="8" t="n"/>
      <c r="N57" s="18" t="n"/>
      <c r="O57" s="8" t="n"/>
    </row>
    <row r="58" ht="20" customHeight="1">
      <c r="A58" s="8" t="n"/>
      <c r="B58" s="8" t="n"/>
      <c r="C58" s="8" t="n"/>
      <c r="D58" s="8" t="n"/>
      <c r="E58" s="26" t="n"/>
      <c r="F58" s="8" t="n"/>
      <c r="G58" s="18" t="n"/>
      <c r="H58" s="18" t="n"/>
      <c r="I58" s="48">
        <f>IF(AND(G58="",H58=""),"",N(G58)+N(H58))</f>
        <v/>
      </c>
      <c r="J58" s="8" t="n"/>
      <c r="K58" s="8" t="n"/>
      <c r="L58" s="48">
        <f>IF(OR(K58="",K58="Pendiente"),"",IF(K58="Rechazado",0,IF(K58="Confirmado",IF(I58="","",I58),"")))</f>
        <v/>
      </c>
      <c r="M58" s="8" t="n"/>
      <c r="N58" s="18" t="n"/>
      <c r="O58" s="8" t="n"/>
    </row>
    <row r="59" ht="20" customHeight="1">
      <c r="A59" s="8" t="n"/>
      <c r="B59" s="8" t="n"/>
      <c r="C59" s="8" t="n"/>
      <c r="D59" s="8" t="n"/>
      <c r="E59" s="26" t="n"/>
      <c r="F59" s="8" t="n"/>
      <c r="G59" s="18" t="n"/>
      <c r="H59" s="18" t="n"/>
      <c r="I59" s="48">
        <f>IF(AND(G59="",H59=""),"",N(G59)+N(H59))</f>
        <v/>
      </c>
      <c r="J59" s="8" t="n"/>
      <c r="K59" s="8" t="n"/>
      <c r="L59" s="48">
        <f>IF(OR(K59="",K59="Pendiente"),"",IF(K59="Rechazado",0,IF(K59="Confirmado",IF(I59="","",I59),"")))</f>
        <v/>
      </c>
      <c r="M59" s="8" t="n"/>
      <c r="N59" s="18" t="n"/>
      <c r="O59" s="8" t="n"/>
    </row>
    <row r="60" ht="20" customHeight="1">
      <c r="A60" s="8" t="n"/>
      <c r="B60" s="8" t="n"/>
      <c r="C60" s="8" t="n"/>
      <c r="D60" s="8" t="n"/>
      <c r="E60" s="26" t="n"/>
      <c r="F60" s="8" t="n"/>
      <c r="G60" s="18" t="n"/>
      <c r="H60" s="18" t="n"/>
      <c r="I60" s="48">
        <f>IF(AND(G60="",H60=""),"",N(G60)+N(H60))</f>
        <v/>
      </c>
      <c r="J60" s="8" t="n"/>
      <c r="K60" s="8" t="n"/>
      <c r="L60" s="48">
        <f>IF(OR(K60="",K60="Pendiente"),"",IF(K60="Rechazado",0,IF(K60="Confirmado",IF(I60="","",I60),"")))</f>
        <v/>
      </c>
      <c r="M60" s="8" t="n"/>
      <c r="N60" s="18" t="n"/>
      <c r="O60" s="8" t="n"/>
    </row>
    <row r="61" ht="20" customHeight="1">
      <c r="A61" s="8" t="n"/>
      <c r="B61" s="8" t="n"/>
      <c r="C61" s="8" t="n"/>
      <c r="D61" s="8" t="n"/>
      <c r="E61" s="26" t="n"/>
      <c r="F61" s="8" t="n"/>
      <c r="G61" s="18" t="n"/>
      <c r="H61" s="18" t="n"/>
      <c r="I61" s="48">
        <f>IF(AND(G61="",H61=""),"",N(G61)+N(H61))</f>
        <v/>
      </c>
      <c r="J61" s="8" t="n"/>
      <c r="K61" s="8" t="n"/>
      <c r="L61" s="48">
        <f>IF(OR(K61="",K61="Pendiente"),"",IF(K61="Rechazado",0,IF(K61="Confirmado",IF(I61="","",I61),"")))</f>
        <v/>
      </c>
      <c r="M61" s="8" t="n"/>
      <c r="N61" s="18" t="n"/>
      <c r="O61" s="8" t="n"/>
    </row>
    <row r="62" ht="20" customHeight="1">
      <c r="A62" s="8" t="n"/>
      <c r="B62" s="8" t="n"/>
      <c r="C62" s="8" t="n"/>
      <c r="D62" s="8" t="n"/>
      <c r="E62" s="26" t="n"/>
      <c r="F62" s="8" t="n"/>
      <c r="G62" s="18" t="n"/>
      <c r="H62" s="18" t="n"/>
      <c r="I62" s="48">
        <f>IF(AND(G62="",H62=""),"",N(G62)+N(H62))</f>
        <v/>
      </c>
      <c r="J62" s="8" t="n"/>
      <c r="K62" s="8" t="n"/>
      <c r="L62" s="48">
        <f>IF(OR(K62="",K62="Pendiente"),"",IF(K62="Rechazado",0,IF(K62="Confirmado",IF(I62="","",I62),"")))</f>
        <v/>
      </c>
      <c r="M62" s="8" t="n"/>
      <c r="N62" s="18" t="n"/>
      <c r="O62" s="8" t="n"/>
    </row>
    <row r="63" ht="20" customHeight="1">
      <c r="A63" s="8" t="n"/>
      <c r="B63" s="8" t="n"/>
      <c r="C63" s="8" t="n"/>
      <c r="D63" s="8" t="n"/>
      <c r="E63" s="26" t="n"/>
      <c r="F63" s="8" t="n"/>
      <c r="G63" s="18" t="n"/>
      <c r="H63" s="18" t="n"/>
      <c r="I63" s="48">
        <f>IF(AND(G63="",H63=""),"",N(G63)+N(H63))</f>
        <v/>
      </c>
      <c r="J63" s="8" t="n"/>
      <c r="K63" s="8" t="n"/>
      <c r="L63" s="48">
        <f>IF(OR(K63="",K63="Pendiente"),"",IF(K63="Rechazado",0,IF(K63="Confirmado",IF(I63="","",I63),"")))</f>
        <v/>
      </c>
      <c r="M63" s="8" t="n"/>
      <c r="N63" s="18" t="n"/>
      <c r="O63" s="8" t="n"/>
    </row>
    <row r="64" ht="20" customHeight="1">
      <c r="A64" s="8" t="n"/>
      <c r="B64" s="8" t="n"/>
      <c r="C64" s="8" t="n"/>
      <c r="D64" s="8" t="n"/>
      <c r="E64" s="26" t="n"/>
      <c r="F64" s="8" t="n"/>
      <c r="G64" s="18" t="n"/>
      <c r="H64" s="18" t="n"/>
      <c r="I64" s="48">
        <f>IF(AND(G64="",H64=""),"",N(G64)+N(H64))</f>
        <v/>
      </c>
      <c r="J64" s="8" t="n"/>
      <c r="K64" s="8" t="n"/>
      <c r="L64" s="48">
        <f>IF(OR(K64="",K64="Pendiente"),"",IF(K64="Rechazado",0,IF(K64="Confirmado",IF(I64="","",I64),"")))</f>
        <v/>
      </c>
      <c r="M64" s="8" t="n"/>
      <c r="N64" s="18" t="n"/>
      <c r="O64" s="8" t="n"/>
    </row>
    <row r="65" ht="20" customHeight="1">
      <c r="A65" s="8" t="n"/>
      <c r="B65" s="8" t="n"/>
      <c r="C65" s="8" t="n"/>
      <c r="D65" s="8" t="n"/>
      <c r="E65" s="26" t="n"/>
      <c r="F65" s="8" t="n"/>
      <c r="G65" s="18" t="n"/>
      <c r="H65" s="18" t="n"/>
      <c r="I65" s="48">
        <f>IF(AND(G65="",H65=""),"",N(G65)+N(H65))</f>
        <v/>
      </c>
      <c r="J65" s="8" t="n"/>
      <c r="K65" s="8" t="n"/>
      <c r="L65" s="48">
        <f>IF(OR(K65="",K65="Pendiente"),"",IF(K65="Rechazado",0,IF(K65="Confirmado",IF(I65="","",I65),"")))</f>
        <v/>
      </c>
      <c r="M65" s="8" t="n"/>
      <c r="N65" s="18" t="n"/>
      <c r="O65" s="8" t="n"/>
    </row>
    <row r="66" ht="20" customHeight="1">
      <c r="A66" s="8" t="n"/>
      <c r="B66" s="8" t="n"/>
      <c r="C66" s="8" t="n"/>
      <c r="D66" s="8" t="n"/>
      <c r="E66" s="26" t="n"/>
      <c r="F66" s="8" t="n"/>
      <c r="G66" s="18" t="n"/>
      <c r="H66" s="18" t="n"/>
      <c r="I66" s="48">
        <f>IF(AND(G66="",H66=""),"",N(G66)+N(H66))</f>
        <v/>
      </c>
      <c r="J66" s="8" t="n"/>
      <c r="K66" s="8" t="n"/>
      <c r="L66" s="48">
        <f>IF(OR(K66="",K66="Pendiente"),"",IF(K66="Rechazado",0,IF(K66="Confirmado",IF(I66="","",I66),"")))</f>
        <v/>
      </c>
      <c r="M66" s="8" t="n"/>
      <c r="N66" s="18" t="n"/>
      <c r="O66" s="8" t="n"/>
    </row>
    <row r="67" ht="20" customHeight="1">
      <c r="A67" s="8" t="n"/>
      <c r="B67" s="8" t="n"/>
      <c r="C67" s="8" t="n"/>
      <c r="D67" s="8" t="n"/>
      <c r="E67" s="26" t="n"/>
      <c r="F67" s="8" t="n"/>
      <c r="G67" s="18" t="n"/>
      <c r="H67" s="18" t="n"/>
      <c r="I67" s="48">
        <f>IF(AND(G67="",H67=""),"",N(G67)+N(H67))</f>
        <v/>
      </c>
      <c r="J67" s="8" t="n"/>
      <c r="K67" s="8" t="n"/>
      <c r="L67" s="48">
        <f>IF(OR(K67="",K67="Pendiente"),"",IF(K67="Rechazado",0,IF(K67="Confirmado",IF(I67="","",I67),"")))</f>
        <v/>
      </c>
      <c r="M67" s="8" t="n"/>
      <c r="N67" s="18" t="n"/>
      <c r="O67" s="8" t="n"/>
    </row>
    <row r="68" ht="20" customHeight="1">
      <c r="A68" s="8" t="n"/>
      <c r="B68" s="8" t="n"/>
      <c r="C68" s="8" t="n"/>
      <c r="D68" s="8" t="n"/>
      <c r="E68" s="26" t="n"/>
      <c r="F68" s="8" t="n"/>
      <c r="G68" s="18" t="n"/>
      <c r="H68" s="18" t="n"/>
      <c r="I68" s="48">
        <f>IF(AND(G68="",H68=""),"",N(G68)+N(H68))</f>
        <v/>
      </c>
      <c r="J68" s="8" t="n"/>
      <c r="K68" s="8" t="n"/>
      <c r="L68" s="48">
        <f>IF(OR(K68="",K68="Pendiente"),"",IF(K68="Rechazado",0,IF(K68="Confirmado",IF(I68="","",I68),"")))</f>
        <v/>
      </c>
      <c r="M68" s="8" t="n"/>
      <c r="N68" s="18" t="n"/>
      <c r="O68" s="8" t="n"/>
    </row>
    <row r="69" ht="20" customHeight="1">
      <c r="A69" s="8" t="n"/>
      <c r="B69" s="8" t="n"/>
      <c r="C69" s="8" t="n"/>
      <c r="D69" s="8" t="n"/>
      <c r="E69" s="26" t="n"/>
      <c r="F69" s="8" t="n"/>
      <c r="G69" s="18" t="n"/>
      <c r="H69" s="18" t="n"/>
      <c r="I69" s="48">
        <f>IF(AND(G69="",H69=""),"",N(G69)+N(H69))</f>
        <v/>
      </c>
      <c r="J69" s="8" t="n"/>
      <c r="K69" s="8" t="n"/>
      <c r="L69" s="48">
        <f>IF(OR(K69="",K69="Pendiente"),"",IF(K69="Rechazado",0,IF(K69="Confirmado",IF(I69="","",I69),"")))</f>
        <v/>
      </c>
      <c r="M69" s="8" t="n"/>
      <c r="N69" s="18" t="n"/>
      <c r="O69" s="8" t="n"/>
    </row>
    <row r="70" ht="20" customHeight="1">
      <c r="A70" s="8" t="n"/>
      <c r="B70" s="8" t="n"/>
      <c r="C70" s="8" t="n"/>
      <c r="D70" s="8" t="n"/>
      <c r="E70" s="26" t="n"/>
      <c r="F70" s="8" t="n"/>
      <c r="G70" s="18" t="n"/>
      <c r="H70" s="18" t="n"/>
      <c r="I70" s="48">
        <f>IF(AND(G70="",H70=""),"",N(G70)+N(H70))</f>
        <v/>
      </c>
      <c r="J70" s="8" t="n"/>
      <c r="K70" s="8" t="n"/>
      <c r="L70" s="48">
        <f>IF(OR(K70="",K70="Pendiente"),"",IF(K70="Rechazado",0,IF(K70="Confirmado",IF(I70="","",I70),"")))</f>
        <v/>
      </c>
      <c r="M70" s="8" t="n"/>
      <c r="N70" s="18" t="n"/>
      <c r="O70" s="8" t="n"/>
    </row>
    <row r="71" ht="20" customHeight="1">
      <c r="A71" s="8" t="n"/>
      <c r="B71" s="8" t="n"/>
      <c r="C71" s="8" t="n"/>
      <c r="D71" s="8" t="n"/>
      <c r="E71" s="26" t="n"/>
      <c r="F71" s="8" t="n"/>
      <c r="G71" s="18" t="n"/>
      <c r="H71" s="18" t="n"/>
      <c r="I71" s="48">
        <f>IF(AND(G71="",H71=""),"",N(G71)+N(H71))</f>
        <v/>
      </c>
      <c r="J71" s="8" t="n"/>
      <c r="K71" s="8" t="n"/>
      <c r="L71" s="48">
        <f>IF(OR(K71="",K71="Pendiente"),"",IF(K71="Rechazado",0,IF(K71="Confirmado",IF(I71="","",I71),"")))</f>
        <v/>
      </c>
      <c r="M71" s="8" t="n"/>
      <c r="N71" s="18" t="n"/>
      <c r="O71" s="8" t="n"/>
    </row>
    <row r="72" ht="20" customHeight="1">
      <c r="A72" s="8" t="n"/>
      <c r="B72" s="8" t="n"/>
      <c r="C72" s="8" t="n"/>
      <c r="D72" s="8" t="n"/>
      <c r="E72" s="26" t="n"/>
      <c r="F72" s="8" t="n"/>
      <c r="G72" s="18" t="n"/>
      <c r="H72" s="18" t="n"/>
      <c r="I72" s="48">
        <f>IF(AND(G72="",H72=""),"",N(G72)+N(H72))</f>
        <v/>
      </c>
      <c r="J72" s="8" t="n"/>
      <c r="K72" s="8" t="n"/>
      <c r="L72" s="48">
        <f>IF(OR(K72="",K72="Pendiente"),"",IF(K72="Rechazado",0,IF(K72="Confirmado",IF(I72="","",I72),"")))</f>
        <v/>
      </c>
      <c r="M72" s="8" t="n"/>
      <c r="N72" s="18" t="n"/>
      <c r="O72" s="8" t="n"/>
    </row>
    <row r="73" ht="20" customHeight="1">
      <c r="A73" s="8" t="n"/>
      <c r="B73" s="8" t="n"/>
      <c r="C73" s="8" t="n"/>
      <c r="D73" s="8" t="n"/>
      <c r="E73" s="26" t="n"/>
      <c r="F73" s="8" t="n"/>
      <c r="G73" s="18" t="n"/>
      <c r="H73" s="18" t="n"/>
      <c r="I73" s="48">
        <f>IF(AND(G73="",H73=""),"",N(G73)+N(H73))</f>
        <v/>
      </c>
      <c r="J73" s="8" t="n"/>
      <c r="K73" s="8" t="n"/>
      <c r="L73" s="48">
        <f>IF(OR(K73="",K73="Pendiente"),"",IF(K73="Rechazado",0,IF(K73="Confirmado",IF(I73="","",I73),"")))</f>
        <v/>
      </c>
      <c r="M73" s="8" t="n"/>
      <c r="N73" s="18" t="n"/>
      <c r="O73" s="8" t="n"/>
    </row>
    <row r="74" ht="20" customHeight="1">
      <c r="A74" s="8" t="n"/>
      <c r="B74" s="8" t="n"/>
      <c r="C74" s="8" t="n"/>
      <c r="D74" s="8" t="n"/>
      <c r="E74" s="26" t="n"/>
      <c r="F74" s="8" t="n"/>
      <c r="G74" s="18" t="n"/>
      <c r="H74" s="18" t="n"/>
      <c r="I74" s="48">
        <f>IF(AND(G74="",H74=""),"",N(G74)+N(H74))</f>
        <v/>
      </c>
      <c r="J74" s="8" t="n"/>
      <c r="K74" s="8" t="n"/>
      <c r="L74" s="48">
        <f>IF(OR(K74="",K74="Pendiente"),"",IF(K74="Rechazado",0,IF(K74="Confirmado",IF(I74="","",I74),"")))</f>
        <v/>
      </c>
      <c r="M74" s="8" t="n"/>
      <c r="N74" s="18" t="n"/>
      <c r="O74" s="8" t="n"/>
    </row>
    <row r="75" ht="20" customHeight="1">
      <c r="A75" s="8" t="n"/>
      <c r="B75" s="8" t="n"/>
      <c r="C75" s="8" t="n"/>
      <c r="D75" s="8" t="n"/>
      <c r="E75" s="26" t="n"/>
      <c r="F75" s="8" t="n"/>
      <c r="G75" s="18" t="n"/>
      <c r="H75" s="18" t="n"/>
      <c r="I75" s="48">
        <f>IF(AND(G75="",H75=""),"",N(G75)+N(H75))</f>
        <v/>
      </c>
      <c r="J75" s="8" t="n"/>
      <c r="K75" s="8" t="n"/>
      <c r="L75" s="48">
        <f>IF(OR(K75="",K75="Pendiente"),"",IF(K75="Rechazado",0,IF(K75="Confirmado",IF(I75="","",I75),"")))</f>
        <v/>
      </c>
      <c r="M75" s="8" t="n"/>
      <c r="N75" s="18" t="n"/>
      <c r="O75" s="8" t="n"/>
    </row>
    <row r="76" ht="20" customHeight="1">
      <c r="A76" s="8" t="n"/>
      <c r="B76" s="8" t="n"/>
      <c r="C76" s="8" t="n"/>
      <c r="D76" s="8" t="n"/>
      <c r="E76" s="26" t="n"/>
      <c r="F76" s="8" t="n"/>
      <c r="G76" s="18" t="n"/>
      <c r="H76" s="18" t="n"/>
      <c r="I76" s="48">
        <f>IF(AND(G76="",H76=""),"",N(G76)+N(H76))</f>
        <v/>
      </c>
      <c r="J76" s="8" t="n"/>
      <c r="K76" s="8" t="n"/>
      <c r="L76" s="48">
        <f>IF(OR(K76="",K76="Pendiente"),"",IF(K76="Rechazado",0,IF(K76="Confirmado",IF(I76="","",I76),"")))</f>
        <v/>
      </c>
      <c r="M76" s="8" t="n"/>
      <c r="N76" s="18" t="n"/>
      <c r="O76" s="8" t="n"/>
    </row>
    <row r="77" ht="20" customHeight="1">
      <c r="A77" s="8" t="n"/>
      <c r="B77" s="8" t="n"/>
      <c r="C77" s="8" t="n"/>
      <c r="D77" s="8" t="n"/>
      <c r="E77" s="26" t="n"/>
      <c r="F77" s="8" t="n"/>
      <c r="G77" s="18" t="n"/>
      <c r="H77" s="18" t="n"/>
      <c r="I77" s="48">
        <f>IF(AND(G77="",H77=""),"",N(G77)+N(H77))</f>
        <v/>
      </c>
      <c r="J77" s="8" t="n"/>
      <c r="K77" s="8" t="n"/>
      <c r="L77" s="48">
        <f>IF(OR(K77="",K77="Pendiente"),"",IF(K77="Rechazado",0,IF(K77="Confirmado",IF(I77="","",I77),"")))</f>
        <v/>
      </c>
      <c r="M77" s="8" t="n"/>
      <c r="N77" s="18" t="n"/>
      <c r="O77" s="8" t="n"/>
    </row>
    <row r="78" ht="20" customHeight="1">
      <c r="A78" s="8" t="n"/>
      <c r="B78" s="8" t="n"/>
      <c r="C78" s="8" t="n"/>
      <c r="D78" s="8" t="n"/>
      <c r="E78" s="26" t="n"/>
      <c r="F78" s="8" t="n"/>
      <c r="G78" s="18" t="n"/>
      <c r="H78" s="18" t="n"/>
      <c r="I78" s="48">
        <f>IF(AND(G78="",H78=""),"",N(G78)+N(H78))</f>
        <v/>
      </c>
      <c r="J78" s="8" t="n"/>
      <c r="K78" s="8" t="n"/>
      <c r="L78" s="48">
        <f>IF(OR(K78="",K78="Pendiente"),"",IF(K78="Rechazado",0,IF(K78="Confirmado",IF(I78="","",I78),"")))</f>
        <v/>
      </c>
      <c r="M78" s="8" t="n"/>
      <c r="N78" s="18" t="n"/>
      <c r="O78" s="8" t="n"/>
    </row>
    <row r="79" ht="20" customHeight="1">
      <c r="A79" s="8" t="n"/>
      <c r="B79" s="8" t="n"/>
      <c r="C79" s="8" t="n"/>
      <c r="D79" s="8" t="n"/>
      <c r="E79" s="26" t="n"/>
      <c r="F79" s="8" t="n"/>
      <c r="G79" s="18" t="n"/>
      <c r="H79" s="18" t="n"/>
      <c r="I79" s="48">
        <f>IF(AND(G79="",H79=""),"",N(G79)+N(H79))</f>
        <v/>
      </c>
      <c r="J79" s="8" t="n"/>
      <c r="K79" s="8" t="n"/>
      <c r="L79" s="48">
        <f>IF(OR(K79="",K79="Pendiente"),"",IF(K79="Rechazado",0,IF(K79="Confirmado",IF(I79="","",I79),"")))</f>
        <v/>
      </c>
      <c r="M79" s="8" t="n"/>
      <c r="N79" s="18" t="n"/>
      <c r="O79" s="8" t="n"/>
    </row>
    <row r="80" ht="20" customHeight="1">
      <c r="A80" s="8" t="n"/>
      <c r="B80" s="8" t="n"/>
      <c r="C80" s="8" t="n"/>
      <c r="D80" s="8" t="n"/>
      <c r="E80" s="26" t="n"/>
      <c r="F80" s="8" t="n"/>
      <c r="G80" s="18" t="n"/>
      <c r="H80" s="18" t="n"/>
      <c r="I80" s="48">
        <f>IF(AND(G80="",H80=""),"",N(G80)+N(H80))</f>
        <v/>
      </c>
      <c r="J80" s="8" t="n"/>
      <c r="K80" s="8" t="n"/>
      <c r="L80" s="48">
        <f>IF(OR(K80="",K80="Pendiente"),"",IF(K80="Rechazado",0,IF(K80="Confirmado",IF(I80="","",I80),"")))</f>
        <v/>
      </c>
      <c r="M80" s="8" t="n"/>
      <c r="N80" s="18" t="n"/>
      <c r="O80" s="8" t="n"/>
    </row>
    <row r="81" ht="20" customHeight="1">
      <c r="A81" s="8" t="n"/>
      <c r="B81" s="8" t="n"/>
      <c r="C81" s="8" t="n"/>
      <c r="D81" s="8" t="n"/>
      <c r="E81" s="26" t="n"/>
      <c r="F81" s="8" t="n"/>
      <c r="G81" s="18" t="n"/>
      <c r="H81" s="18" t="n"/>
      <c r="I81" s="48">
        <f>IF(AND(G81="",H81=""),"",N(G81)+N(H81))</f>
        <v/>
      </c>
      <c r="J81" s="8" t="n"/>
      <c r="K81" s="8" t="n"/>
      <c r="L81" s="48">
        <f>IF(OR(K81="",K81="Pendiente"),"",IF(K81="Rechazado",0,IF(K81="Confirmado",IF(I81="","",I81),"")))</f>
        <v/>
      </c>
      <c r="M81" s="8" t="n"/>
      <c r="N81" s="18" t="n"/>
      <c r="O81" s="8" t="n"/>
    </row>
    <row r="82" ht="20" customHeight="1">
      <c r="A82" s="8" t="n"/>
      <c r="B82" s="8" t="n"/>
      <c r="C82" s="8" t="n"/>
      <c r="D82" s="8" t="n"/>
      <c r="E82" s="26" t="n"/>
      <c r="F82" s="8" t="n"/>
      <c r="G82" s="18" t="n"/>
      <c r="H82" s="18" t="n"/>
      <c r="I82" s="48">
        <f>IF(AND(G82="",H82=""),"",N(G82)+N(H82))</f>
        <v/>
      </c>
      <c r="J82" s="8" t="n"/>
      <c r="K82" s="8" t="n"/>
      <c r="L82" s="48">
        <f>IF(OR(K82="",K82="Pendiente"),"",IF(K82="Rechazado",0,IF(K82="Confirmado",IF(I82="","",I82),"")))</f>
        <v/>
      </c>
      <c r="M82" s="8" t="n"/>
      <c r="N82" s="18" t="n"/>
      <c r="O82" s="8" t="n"/>
    </row>
    <row r="83" ht="20" customHeight="1">
      <c r="A83" s="8" t="n"/>
      <c r="B83" s="8" t="n"/>
      <c r="C83" s="8" t="n"/>
      <c r="D83" s="8" t="n"/>
      <c r="E83" s="26" t="n"/>
      <c r="F83" s="8" t="n"/>
      <c r="G83" s="18" t="n"/>
      <c r="H83" s="18" t="n"/>
      <c r="I83" s="48">
        <f>IF(AND(G83="",H83=""),"",N(G83)+N(H83))</f>
        <v/>
      </c>
      <c r="J83" s="8" t="n"/>
      <c r="K83" s="8" t="n"/>
      <c r="L83" s="48">
        <f>IF(OR(K83="",K83="Pendiente"),"",IF(K83="Rechazado",0,IF(K83="Confirmado",IF(I83="","",I83),"")))</f>
        <v/>
      </c>
      <c r="M83" s="8" t="n"/>
      <c r="N83" s="18" t="n"/>
      <c r="O83" s="8" t="n"/>
    </row>
    <row r="84" ht="20" customHeight="1">
      <c r="A84" s="8" t="n"/>
      <c r="B84" s="8" t="n"/>
      <c r="C84" s="8" t="n"/>
      <c r="D84" s="8" t="n"/>
      <c r="E84" s="26" t="n"/>
      <c r="F84" s="8" t="n"/>
      <c r="G84" s="18" t="n"/>
      <c r="H84" s="18" t="n"/>
      <c r="I84" s="48">
        <f>IF(AND(G84="",H84=""),"",N(G84)+N(H84))</f>
        <v/>
      </c>
      <c r="J84" s="8" t="n"/>
      <c r="K84" s="8" t="n"/>
      <c r="L84" s="48">
        <f>IF(OR(K84="",K84="Pendiente"),"",IF(K84="Rechazado",0,IF(K84="Confirmado",IF(I84="","",I84),"")))</f>
        <v/>
      </c>
      <c r="M84" s="8" t="n"/>
      <c r="N84" s="18" t="n"/>
      <c r="O84" s="8" t="n"/>
    </row>
    <row r="85" ht="20" customHeight="1">
      <c r="A85" s="8" t="n"/>
      <c r="B85" s="8" t="n"/>
      <c r="C85" s="8" t="n"/>
      <c r="D85" s="8" t="n"/>
      <c r="E85" s="26" t="n"/>
      <c r="F85" s="8" t="n"/>
      <c r="G85" s="18" t="n"/>
      <c r="H85" s="18" t="n"/>
      <c r="I85" s="48">
        <f>IF(AND(G85="",H85=""),"",N(G85)+N(H85))</f>
        <v/>
      </c>
      <c r="J85" s="8" t="n"/>
      <c r="K85" s="8" t="n"/>
      <c r="L85" s="48">
        <f>IF(OR(K85="",K85="Pendiente"),"",IF(K85="Rechazado",0,IF(K85="Confirmado",IF(I85="","",I85),"")))</f>
        <v/>
      </c>
      <c r="M85" s="8" t="n"/>
      <c r="N85" s="18" t="n"/>
      <c r="O85" s="8" t="n"/>
    </row>
    <row r="86" ht="20" customHeight="1">
      <c r="A86" s="8" t="n"/>
      <c r="B86" s="8" t="n"/>
      <c r="C86" s="8" t="n"/>
      <c r="D86" s="8" t="n"/>
      <c r="E86" s="26" t="n"/>
      <c r="F86" s="8" t="n"/>
      <c r="G86" s="18" t="n"/>
      <c r="H86" s="18" t="n"/>
      <c r="I86" s="48">
        <f>IF(AND(G86="",H86=""),"",N(G86)+N(H86))</f>
        <v/>
      </c>
      <c r="J86" s="8" t="n"/>
      <c r="K86" s="8" t="n"/>
      <c r="L86" s="48">
        <f>IF(OR(K86="",K86="Pendiente"),"",IF(K86="Rechazado",0,IF(K86="Confirmado",IF(I86="","",I86),"")))</f>
        <v/>
      </c>
      <c r="M86" s="8" t="n"/>
      <c r="N86" s="18" t="n"/>
      <c r="O86" s="8" t="n"/>
    </row>
    <row r="87" ht="20" customHeight="1">
      <c r="A87" s="8" t="n"/>
      <c r="B87" s="8" t="n"/>
      <c r="C87" s="8" t="n"/>
      <c r="D87" s="8" t="n"/>
      <c r="E87" s="26" t="n"/>
      <c r="F87" s="8" t="n"/>
      <c r="G87" s="18" t="n"/>
      <c r="H87" s="18" t="n"/>
      <c r="I87" s="48">
        <f>IF(AND(G87="",H87=""),"",N(G87)+N(H87))</f>
        <v/>
      </c>
      <c r="J87" s="8" t="n"/>
      <c r="K87" s="8" t="n"/>
      <c r="L87" s="48">
        <f>IF(OR(K87="",K87="Pendiente"),"",IF(K87="Rechazado",0,IF(K87="Confirmado",IF(I87="","",I87),"")))</f>
        <v/>
      </c>
      <c r="M87" s="8" t="n"/>
      <c r="N87" s="18" t="n"/>
      <c r="O87" s="8" t="n"/>
    </row>
    <row r="88" ht="20" customHeight="1">
      <c r="A88" s="8" t="n"/>
      <c r="B88" s="8" t="n"/>
      <c r="C88" s="8" t="n"/>
      <c r="D88" s="8" t="n"/>
      <c r="E88" s="26" t="n"/>
      <c r="F88" s="8" t="n"/>
      <c r="G88" s="18" t="n"/>
      <c r="H88" s="18" t="n"/>
      <c r="I88" s="48">
        <f>IF(AND(G88="",H88=""),"",N(G88)+N(H88))</f>
        <v/>
      </c>
      <c r="J88" s="8" t="n"/>
      <c r="K88" s="8" t="n"/>
      <c r="L88" s="48">
        <f>IF(OR(K88="",K88="Pendiente"),"",IF(K88="Rechazado",0,IF(K88="Confirmado",IF(I88="","",I88),"")))</f>
        <v/>
      </c>
      <c r="M88" s="8" t="n"/>
      <c r="N88" s="18" t="n"/>
      <c r="O88" s="8" t="n"/>
    </row>
    <row r="89" ht="20" customHeight="1">
      <c r="A89" s="8" t="n"/>
      <c r="B89" s="8" t="n"/>
      <c r="C89" s="8" t="n"/>
      <c r="D89" s="8" t="n"/>
      <c r="E89" s="26" t="n"/>
      <c r="F89" s="8" t="n"/>
      <c r="G89" s="18" t="n"/>
      <c r="H89" s="18" t="n"/>
      <c r="I89" s="48">
        <f>IF(AND(G89="",H89=""),"",N(G89)+N(H89))</f>
        <v/>
      </c>
      <c r="J89" s="8" t="n"/>
      <c r="K89" s="8" t="n"/>
      <c r="L89" s="48">
        <f>IF(OR(K89="",K89="Pendiente"),"",IF(K89="Rechazado",0,IF(K89="Confirmado",IF(I89="","",I89),"")))</f>
        <v/>
      </c>
      <c r="M89" s="8" t="n"/>
      <c r="N89" s="18" t="n"/>
      <c r="O89" s="8" t="n"/>
    </row>
    <row r="90" ht="20" customHeight="1">
      <c r="A90" s="8" t="n"/>
      <c r="B90" s="8" t="n"/>
      <c r="C90" s="8" t="n"/>
      <c r="D90" s="8" t="n"/>
      <c r="E90" s="26" t="n"/>
      <c r="F90" s="8" t="n"/>
      <c r="G90" s="18" t="n"/>
      <c r="H90" s="18" t="n"/>
      <c r="I90" s="48">
        <f>IF(AND(G90="",H90=""),"",N(G90)+N(H90))</f>
        <v/>
      </c>
      <c r="J90" s="8" t="n"/>
      <c r="K90" s="8" t="n"/>
      <c r="L90" s="48">
        <f>IF(OR(K90="",K90="Pendiente"),"",IF(K90="Rechazado",0,IF(K90="Confirmado",IF(I90="","",I90),"")))</f>
        <v/>
      </c>
      <c r="M90" s="8" t="n"/>
      <c r="N90" s="18" t="n"/>
      <c r="O90" s="8" t="n"/>
    </row>
    <row r="91" ht="20" customHeight="1">
      <c r="A91" s="8" t="n"/>
      <c r="B91" s="8" t="n"/>
      <c r="C91" s="8" t="n"/>
      <c r="D91" s="8" t="n"/>
      <c r="E91" s="26" t="n"/>
      <c r="F91" s="8" t="n"/>
      <c r="G91" s="18" t="n"/>
      <c r="H91" s="18" t="n"/>
      <c r="I91" s="48">
        <f>IF(AND(G91="",H91=""),"",N(G91)+N(H91))</f>
        <v/>
      </c>
      <c r="J91" s="8" t="n"/>
      <c r="K91" s="8" t="n"/>
      <c r="L91" s="48">
        <f>IF(OR(K91="",K91="Pendiente"),"",IF(K91="Rechazado",0,IF(K91="Confirmado",IF(I91="","",I91),"")))</f>
        <v/>
      </c>
      <c r="M91" s="8" t="n"/>
      <c r="N91" s="18" t="n"/>
      <c r="O91" s="8" t="n"/>
    </row>
    <row r="92" ht="20" customHeight="1">
      <c r="A92" s="8" t="n"/>
      <c r="B92" s="8" t="n"/>
      <c r="C92" s="8" t="n"/>
      <c r="D92" s="8" t="n"/>
      <c r="E92" s="26" t="n"/>
      <c r="F92" s="8" t="n"/>
      <c r="G92" s="18" t="n"/>
      <c r="H92" s="18" t="n"/>
      <c r="I92" s="48">
        <f>IF(AND(G92="",H92=""),"",N(G92)+N(H92))</f>
        <v/>
      </c>
      <c r="J92" s="8" t="n"/>
      <c r="K92" s="8" t="n"/>
      <c r="L92" s="48">
        <f>IF(OR(K92="",K92="Pendiente"),"",IF(K92="Rechazado",0,IF(K92="Confirmado",IF(I92="","",I92),"")))</f>
        <v/>
      </c>
      <c r="M92" s="8" t="n"/>
      <c r="N92" s="18" t="n"/>
      <c r="O92" s="8" t="n"/>
    </row>
    <row r="93" ht="20" customHeight="1">
      <c r="A93" s="8" t="n"/>
      <c r="B93" s="8" t="n"/>
      <c r="C93" s="8" t="n"/>
      <c r="D93" s="8" t="n"/>
      <c r="E93" s="26" t="n"/>
      <c r="F93" s="8" t="n"/>
      <c r="G93" s="18" t="n"/>
      <c r="H93" s="18" t="n"/>
      <c r="I93" s="48">
        <f>IF(AND(G93="",H93=""),"",N(G93)+N(H93))</f>
        <v/>
      </c>
      <c r="J93" s="8" t="n"/>
      <c r="K93" s="8" t="n"/>
      <c r="L93" s="48">
        <f>IF(OR(K93="",K93="Pendiente"),"",IF(K93="Rechazado",0,IF(K93="Confirmado",IF(I93="","",I93),"")))</f>
        <v/>
      </c>
      <c r="M93" s="8" t="n"/>
      <c r="N93" s="18" t="n"/>
      <c r="O93" s="8" t="n"/>
    </row>
    <row r="94" ht="20" customHeight="1">
      <c r="A94" s="8" t="n"/>
      <c r="B94" s="8" t="n"/>
      <c r="C94" s="8" t="n"/>
      <c r="D94" s="8" t="n"/>
      <c r="E94" s="26" t="n"/>
      <c r="F94" s="8" t="n"/>
      <c r="G94" s="18" t="n"/>
      <c r="H94" s="18" t="n"/>
      <c r="I94" s="48">
        <f>IF(AND(G94="",H94=""),"",N(G94)+N(H94))</f>
        <v/>
      </c>
      <c r="J94" s="8" t="n"/>
      <c r="K94" s="8" t="n"/>
      <c r="L94" s="48">
        <f>IF(OR(K94="",K94="Pendiente"),"",IF(K94="Rechazado",0,IF(K94="Confirmado",IF(I94="","",I94),"")))</f>
        <v/>
      </c>
      <c r="M94" s="8" t="n"/>
      <c r="N94" s="18" t="n"/>
      <c r="O94" s="8" t="n"/>
    </row>
    <row r="95" ht="20" customHeight="1">
      <c r="A95" s="8" t="n"/>
      <c r="B95" s="8" t="n"/>
      <c r="C95" s="8" t="n"/>
      <c r="D95" s="8" t="n"/>
      <c r="E95" s="26" t="n"/>
      <c r="F95" s="8" t="n"/>
      <c r="G95" s="18" t="n"/>
      <c r="H95" s="18" t="n"/>
      <c r="I95" s="48">
        <f>IF(AND(G95="",H95=""),"",N(G95)+N(H95))</f>
        <v/>
      </c>
      <c r="J95" s="8" t="n"/>
      <c r="K95" s="8" t="n"/>
      <c r="L95" s="48">
        <f>IF(OR(K95="",K95="Pendiente"),"",IF(K95="Rechazado",0,IF(K95="Confirmado",IF(I95="","",I95),"")))</f>
        <v/>
      </c>
      <c r="M95" s="8" t="n"/>
      <c r="N95" s="18" t="n"/>
      <c r="O95" s="8" t="n"/>
    </row>
    <row r="96" ht="20" customHeight="1">
      <c r="A96" s="8" t="n"/>
      <c r="B96" s="8" t="n"/>
      <c r="C96" s="8" t="n"/>
      <c r="D96" s="8" t="n"/>
      <c r="E96" s="26" t="n"/>
      <c r="F96" s="8" t="n"/>
      <c r="G96" s="18" t="n"/>
      <c r="H96" s="18" t="n"/>
      <c r="I96" s="48">
        <f>IF(AND(G96="",H96=""),"",N(G96)+N(H96))</f>
        <v/>
      </c>
      <c r="J96" s="8" t="n"/>
      <c r="K96" s="8" t="n"/>
      <c r="L96" s="48">
        <f>IF(OR(K96="",K96="Pendiente"),"",IF(K96="Rechazado",0,IF(K96="Confirmado",IF(I96="","",I96),"")))</f>
        <v/>
      </c>
      <c r="M96" s="8" t="n"/>
      <c r="N96" s="18" t="n"/>
      <c r="O96" s="8" t="n"/>
    </row>
    <row r="97" ht="20" customHeight="1">
      <c r="A97" s="8" t="n"/>
      <c r="B97" s="8" t="n"/>
      <c r="C97" s="8" t="n"/>
      <c r="D97" s="8" t="n"/>
      <c r="E97" s="26" t="n"/>
      <c r="F97" s="8" t="n"/>
      <c r="G97" s="18" t="n"/>
      <c r="H97" s="18" t="n"/>
      <c r="I97" s="48">
        <f>IF(AND(G97="",H97=""),"",N(G97)+N(H97))</f>
        <v/>
      </c>
      <c r="J97" s="8" t="n"/>
      <c r="K97" s="8" t="n"/>
      <c r="L97" s="48">
        <f>IF(OR(K97="",K97="Pendiente"),"",IF(K97="Rechazado",0,IF(K97="Confirmado",IF(I97="","",I97),"")))</f>
        <v/>
      </c>
      <c r="M97" s="8" t="n"/>
      <c r="N97" s="18" t="n"/>
      <c r="O97" s="8" t="n"/>
    </row>
    <row r="98" ht="20" customHeight="1">
      <c r="A98" s="8" t="n"/>
      <c r="B98" s="8" t="n"/>
      <c r="C98" s="8" t="n"/>
      <c r="D98" s="8" t="n"/>
      <c r="E98" s="26" t="n"/>
      <c r="F98" s="8" t="n"/>
      <c r="G98" s="18" t="n"/>
      <c r="H98" s="18" t="n"/>
      <c r="I98" s="48">
        <f>IF(AND(G98="",H98=""),"",N(G98)+N(H98))</f>
        <v/>
      </c>
      <c r="J98" s="8" t="n"/>
      <c r="K98" s="8" t="n"/>
      <c r="L98" s="48">
        <f>IF(OR(K98="",K98="Pendiente"),"",IF(K98="Rechazado",0,IF(K98="Confirmado",IF(I98="","",I98),"")))</f>
        <v/>
      </c>
      <c r="M98" s="8" t="n"/>
      <c r="N98" s="18" t="n"/>
      <c r="O98" s="8" t="n"/>
    </row>
    <row r="99" ht="20" customHeight="1">
      <c r="A99" s="8" t="n"/>
      <c r="B99" s="8" t="n"/>
      <c r="C99" s="8" t="n"/>
      <c r="D99" s="8" t="n"/>
      <c r="E99" s="26" t="n"/>
      <c r="F99" s="8" t="n"/>
      <c r="G99" s="18" t="n"/>
      <c r="H99" s="18" t="n"/>
      <c r="I99" s="48">
        <f>IF(AND(G99="",H99=""),"",N(G99)+N(H99))</f>
        <v/>
      </c>
      <c r="J99" s="8" t="n"/>
      <c r="K99" s="8" t="n"/>
      <c r="L99" s="48">
        <f>IF(OR(K99="",K99="Pendiente"),"",IF(K99="Rechazado",0,IF(K99="Confirmado",IF(I99="","",I99),"")))</f>
        <v/>
      </c>
      <c r="M99" s="8" t="n"/>
      <c r="N99" s="18" t="n"/>
      <c r="O99" s="8" t="n"/>
    </row>
    <row r="100" ht="20" customHeight="1">
      <c r="A100" s="8" t="n"/>
      <c r="B100" s="8" t="n"/>
      <c r="C100" s="8" t="n"/>
      <c r="D100" s="8" t="n"/>
      <c r="E100" s="26" t="n"/>
      <c r="F100" s="8" t="n"/>
      <c r="G100" s="18" t="n"/>
      <c r="H100" s="18" t="n"/>
      <c r="I100" s="48">
        <f>IF(AND(G100="",H100=""),"",N(G100)+N(H100))</f>
        <v/>
      </c>
      <c r="J100" s="8" t="n"/>
      <c r="K100" s="8" t="n"/>
      <c r="L100" s="48">
        <f>IF(OR(K100="",K100="Pendiente"),"",IF(K100="Rechazado",0,IF(K100="Confirmado",IF(I100="","",I100),"")))</f>
        <v/>
      </c>
      <c r="M100" s="8" t="n"/>
      <c r="N100" s="18" t="n"/>
      <c r="O100" s="8" t="n"/>
    </row>
    <row r="101" ht="20" customHeight="1">
      <c r="A101" s="8" t="n"/>
      <c r="B101" s="8" t="n"/>
      <c r="C101" s="8" t="n"/>
      <c r="D101" s="8" t="n"/>
      <c r="E101" s="26" t="n"/>
      <c r="F101" s="8" t="n"/>
      <c r="G101" s="18" t="n"/>
      <c r="H101" s="18" t="n"/>
      <c r="I101" s="48">
        <f>IF(AND(G101="",H101=""),"",N(G101)+N(H101))</f>
        <v/>
      </c>
      <c r="J101" s="8" t="n"/>
      <c r="K101" s="8" t="n"/>
      <c r="L101" s="48">
        <f>IF(OR(K101="",K101="Pendiente"),"",IF(K101="Rechazado",0,IF(K101="Confirmado",IF(I101="","",I101),"")))</f>
        <v/>
      </c>
      <c r="M101" s="8" t="n"/>
      <c r="N101" s="18" t="n"/>
      <c r="O101" s="8" t="n"/>
    </row>
    <row r="102" ht="20" customHeight="1">
      <c r="A102" s="8" t="n"/>
      <c r="B102" s="8" t="n"/>
      <c r="C102" s="8" t="n"/>
      <c r="D102" s="8" t="n"/>
      <c r="E102" s="26" t="n"/>
      <c r="F102" s="8" t="n"/>
      <c r="G102" s="18" t="n"/>
      <c r="H102" s="18" t="n"/>
      <c r="I102" s="48">
        <f>IF(AND(G102="",H102=""),"",N(G102)+N(H102))</f>
        <v/>
      </c>
      <c r="J102" s="8" t="n"/>
      <c r="K102" s="8" t="n"/>
      <c r="L102" s="48">
        <f>IF(OR(K102="",K102="Pendiente"),"",IF(K102="Rechazado",0,IF(K102="Confirmado",IF(I102="","",I102),"")))</f>
        <v/>
      </c>
      <c r="M102" s="8" t="n"/>
      <c r="N102" s="18" t="n"/>
      <c r="O102" s="8" t="n"/>
    </row>
    <row r="103" ht="20" customHeight="1">
      <c r="A103" s="8" t="n"/>
      <c r="B103" s="8" t="n"/>
      <c r="C103" s="8" t="n"/>
      <c r="D103" s="8" t="n"/>
      <c r="E103" s="26" t="n"/>
      <c r="F103" s="8" t="n"/>
      <c r="G103" s="18" t="n"/>
      <c r="H103" s="18" t="n"/>
      <c r="I103" s="48">
        <f>IF(AND(G103="",H103=""),"",N(G103)+N(H103))</f>
        <v/>
      </c>
      <c r="J103" s="8" t="n"/>
      <c r="K103" s="8" t="n"/>
      <c r="L103" s="48">
        <f>IF(OR(K103="",K103="Pendiente"),"",IF(K103="Rechazado",0,IF(K103="Confirmado",IF(I103="","",I103),"")))</f>
        <v/>
      </c>
      <c r="M103" s="8" t="n"/>
      <c r="N103" s="18" t="n"/>
      <c r="O103" s="8" t="n"/>
    </row>
    <row r="104" ht="20" customHeight="1">
      <c r="A104" s="8" t="n"/>
      <c r="B104" s="8" t="n"/>
      <c r="C104" s="8" t="n"/>
      <c r="D104" s="8" t="n"/>
      <c r="E104" s="26" t="n"/>
      <c r="F104" s="8" t="n"/>
      <c r="G104" s="18" t="n"/>
      <c r="H104" s="18" t="n"/>
      <c r="I104" s="48">
        <f>IF(AND(G104="",H104=""),"",N(G104)+N(H104))</f>
        <v/>
      </c>
      <c r="J104" s="8" t="n"/>
      <c r="K104" s="8" t="n"/>
      <c r="L104" s="48">
        <f>IF(OR(K104="",K104="Pendiente"),"",IF(K104="Rechazado",0,IF(K104="Confirmado",IF(I104="","",I104),"")))</f>
        <v/>
      </c>
      <c r="M104" s="8" t="n"/>
      <c r="N104" s="18" t="n"/>
      <c r="O104" s="8" t="n"/>
    </row>
    <row r="105" ht="20" customHeight="1">
      <c r="A105" s="8" t="n"/>
      <c r="B105" s="8" t="n"/>
      <c r="C105" s="8" t="n"/>
      <c r="D105" s="8" t="n"/>
      <c r="E105" s="26" t="n"/>
      <c r="F105" s="8" t="n"/>
      <c r="G105" s="18" t="n"/>
      <c r="H105" s="18" t="n"/>
      <c r="I105" s="48">
        <f>IF(AND(G105="",H105=""),"",N(G105)+N(H105))</f>
        <v/>
      </c>
      <c r="J105" s="8" t="n"/>
      <c r="K105" s="8" t="n"/>
      <c r="L105" s="48">
        <f>IF(OR(K105="",K105="Pendiente"),"",IF(K105="Rechazado",0,IF(K105="Confirmado",IF(I105="","",I105),"")))</f>
        <v/>
      </c>
      <c r="M105" s="8" t="n"/>
      <c r="N105" s="18" t="n"/>
      <c r="O105" s="8" t="n"/>
    </row>
    <row r="106" ht="20" customHeight="1">
      <c r="A106" s="8" t="n"/>
      <c r="B106" s="8" t="n"/>
      <c r="C106" s="8" t="n"/>
      <c r="D106" s="8" t="n"/>
      <c r="E106" s="26" t="n"/>
      <c r="F106" s="8" t="n"/>
      <c r="G106" s="18" t="n"/>
      <c r="H106" s="18" t="n"/>
      <c r="I106" s="48">
        <f>IF(AND(G106="",H106=""),"",N(G106)+N(H106))</f>
        <v/>
      </c>
      <c r="J106" s="8" t="n"/>
      <c r="K106" s="8" t="n"/>
      <c r="L106" s="48">
        <f>IF(OR(K106="",K106="Pendiente"),"",IF(K106="Rechazado",0,IF(K106="Confirmado",IF(I106="","",I106),"")))</f>
        <v/>
      </c>
      <c r="M106" s="8" t="n"/>
      <c r="N106" s="18" t="n"/>
      <c r="O106" s="8" t="n"/>
    </row>
    <row r="107" ht="20" customHeight="1">
      <c r="A107" s="8" t="n"/>
      <c r="B107" s="8" t="n"/>
      <c r="C107" s="8" t="n"/>
      <c r="D107" s="8" t="n"/>
      <c r="E107" s="26" t="n"/>
      <c r="F107" s="8" t="n"/>
      <c r="G107" s="18" t="n"/>
      <c r="H107" s="18" t="n"/>
      <c r="I107" s="48">
        <f>IF(AND(G107="",H107=""),"",N(G107)+N(H107))</f>
        <v/>
      </c>
      <c r="J107" s="8" t="n"/>
      <c r="K107" s="8" t="n"/>
      <c r="L107" s="48">
        <f>IF(OR(K107="",K107="Pendiente"),"",IF(K107="Rechazado",0,IF(K107="Confirmado",IF(I107="","",I107),"")))</f>
        <v/>
      </c>
      <c r="M107" s="8" t="n"/>
      <c r="N107" s="18" t="n"/>
      <c r="O107" s="8" t="n"/>
    </row>
  </sheetData>
  <autoFilter ref="A7:O107"/>
  <mergeCells count="2">
    <mergeCell ref="A1:O1"/>
    <mergeCell ref="A2:O2"/>
  </mergeCells>
  <conditionalFormatting sqref="K8:K107">
    <cfRule type="expression" priority="1" dxfId="7">
      <formula>K8="Confirmado"</formula>
    </cfRule>
    <cfRule type="expression" priority="2" dxfId="8">
      <formula>K8="Pendiente"</formula>
    </cfRule>
    <cfRule type="expression" priority="3" dxfId="10">
      <formula>K8="Rechazado"</formula>
    </cfRule>
  </conditionalFormatting>
  <dataValidations count="6">
    <dataValidation sqref="C8:C107" showDropDown="0" showInputMessage="0" showErrorMessage="1" allowBlank="1" errorTitle="Elige una opción" error="Elige el lado de la invitación." type="list">
      <formula1>=Listas!$C$2:$C$5</formula1>
    </dataValidation>
    <dataValidation sqref="J8:J107" showDropDown="0" showInputMessage="0" showErrorMessage="1" allowBlank="1" errorTitle="Elige una opción" error="Elige el estado de la invitación." type="list">
      <formula1>=Listas!$D$2:$D$4</formula1>
    </dataValidation>
    <dataValidation sqref="K8:K107" showDropDown="0" showInputMessage="0" showErrorMessage="1" allowBlank="1" errorTitle="Elige una opción" error="Elige Pendiente, Confirmado o Rechazado." type="list">
      <formula1>=Listas!$B$2:$B$4</formula1>
    </dataValidation>
    <dataValidation sqref="M8:M107" showDropDown="0" showInputMessage="0" showErrorMessage="1" allowBlank="1" errorTitle="Elige una opción" error="Elige el menú de esa fila." type="list">
      <formula1>=Listas!$E$2:$E$7</formula1>
    </dataValidation>
    <dataValidation sqref="N8:N107" showDropDown="0" showInputMessage="0" showErrorMessage="1" allowBlank="1" errorTitle="Elige una opción" error="Elige el número de mesa." type="list">
      <formula1>=Listas!$K$2:$K$21</formula1>
    </dataValidation>
    <dataValidation sqref="G8:H107" showDropDown="0" showInputMessage="0" showErrorMessage="1" allowBlank="1" errorTitle="Revisa el número" error="Escribe un número entero o deja la celda vacía." type="whole" operator="greaterThanOrEqual">
      <formula1>0</formula1>
    </dataValidation>
  </dataValidations>
  <printOptions horizontalCentered="1"/>
  <pageMargins left="0.5" right="0.5" top="0.55" bottom="0.5" header="0.2" footer="0.25"/>
  <pageSetup orientation="landscape" paperSize="9" fitToHeight="0" fitToWidth="1"/>
  <headerFooter>
    <oddHeader/>
    <oddFooter>&amp;LPlan de la fiesta de boda&amp;RPágina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245C45"/>
    <outlinePr summaryBelow="1" summaryRight="1"/>
    <pageSetUpPr fitToPage="1"/>
  </sheetPr>
  <dimension ref="A1:G27"/>
  <sheetViews>
    <sheetView showGridLines="0" zoomScale="110" workbookViewId="0">
      <pane ySplit="7" topLeftCell="A8" activePane="bottomLeft" state="frozen"/>
      <selection pane="bottomLeft" activeCell="A1" sqref="A1"/>
    </sheetView>
  </sheetViews>
  <sheetFormatPr baseColWidth="8" defaultRowHeight="18"/>
  <cols>
    <col width="12" customWidth="1" min="1" max="1"/>
    <col width="28" customWidth="1" min="2" max="2"/>
    <col width="14" customWidth="1" min="3" max="3"/>
    <col width="14" customWidth="1" min="4" max="4"/>
    <col width="16" customWidth="1" min="5" max="5"/>
    <col width="12" customWidth="1" min="6" max="6"/>
    <col width="48" customWidth="1" min="7" max="7"/>
  </cols>
  <sheetData>
    <row r="1" ht="36" customHeight="1">
      <c r="A1" s="1" t="inlineStr">
        <is>
          <t>Mesas</t>
        </is>
      </c>
      <c r="B1" s="2" t="n"/>
      <c r="C1" s="2" t="n"/>
      <c r="D1" s="2" t="n"/>
      <c r="E1" s="2" t="n"/>
      <c r="F1" s="2" t="n"/>
      <c r="G1" s="2" t="n"/>
    </row>
    <row r="2" ht="34" customHeight="1">
      <c r="A2" s="3" t="inlineStr">
        <is>
          <t>Escribe la capacidad solo de las mesas que vas a usar. Asigna ese mismo número en Invitados. Apartados no cuenta a quien rechazó. Las mesas 1 y 2 traen una capacidad de ejemplo.</t>
        </is>
      </c>
      <c r="B2" s="4" t="n"/>
      <c r="C2" s="4" t="n"/>
      <c r="D2" s="4" t="n"/>
      <c r="E2" s="4" t="n"/>
      <c r="F2" s="4" t="n"/>
      <c r="G2" s="4" t="n"/>
    </row>
    <row r="3" ht="10" customHeight="1"/>
    <row r="4" ht="24" customHeight="1">
      <c r="A4" s="49" t="inlineStr">
        <is>
          <t>Lugares</t>
        </is>
      </c>
      <c r="B4" s="50">
        <f>SUM(C8:C27)</f>
        <v/>
      </c>
      <c r="C4" s="49" t="inlineStr">
        <is>
          <t>Apartados</t>
        </is>
      </c>
      <c r="D4" s="50">
        <f>SUM(D8:D27)</f>
        <v/>
      </c>
      <c r="E4" s="49" t="inlineStr">
        <is>
          <t>Confirmados</t>
        </is>
      </c>
      <c r="F4" s="50">
        <f>SUM(E8:E27)</f>
        <v/>
      </c>
      <c r="G4" s="51" t="n"/>
    </row>
    <row r="5" ht="24" customHeight="1">
      <c r="A5" s="49" t="inlineStr">
        <is>
          <t>Mesas en uso</t>
        </is>
      </c>
      <c r="B5" s="50">
        <f>COUNTIF(C8:C27,"&gt;0")</f>
        <v/>
      </c>
      <c r="C5" s="49" t="inlineStr">
        <is>
          <t>Libres</t>
        </is>
      </c>
      <c r="D5" s="50">
        <f>SUM(F8:F27)</f>
        <v/>
      </c>
      <c r="E5" s="51" t="n"/>
      <c r="F5" s="51" t="n"/>
      <c r="G5" s="51" t="n"/>
    </row>
    <row r="6" ht="8" customHeight="1"/>
    <row r="7" ht="32" customHeight="1">
      <c r="A7" s="39" t="inlineStr">
        <is>
          <t>Mesa</t>
        </is>
      </c>
      <c r="B7" s="39" t="inlineStr">
        <is>
          <t>Nombre</t>
        </is>
      </c>
      <c r="C7" s="39" t="inlineStr">
        <is>
          <t>Capacidad</t>
        </is>
      </c>
      <c r="D7" s="39" t="inlineStr">
        <is>
          <t>Apartados</t>
        </is>
      </c>
      <c r="E7" s="39" t="inlineStr">
        <is>
          <t>Confirmados</t>
        </is>
      </c>
      <c r="F7" s="39" t="inlineStr">
        <is>
          <t>Libres</t>
        </is>
      </c>
      <c r="G7" s="39" t="inlineStr">
        <is>
          <t>Notas</t>
        </is>
      </c>
    </row>
    <row r="8" ht="20" customHeight="1">
      <c r="A8" s="48" t="n">
        <v>1</v>
      </c>
      <c r="B8" s="8" t="n"/>
      <c r="C8" s="18" t="n">
        <v>8</v>
      </c>
      <c r="D8" s="48">
        <f>SUMIF(Invitados!$N$8:$N$107,A8,Invitados!$I$8:$I$107)-SUMIFS(Invitados!$I$8:$I$107,Invitados!$N$8:$N$107,A8,Invitados!$K$8:$K$107,"Rechazado")</f>
        <v/>
      </c>
      <c r="E8" s="48">
        <f>SUMIFS(Invitados!$I$8:$I$107,Invitados!$N$8:$N$107,A8,Invitados!$K$8:$K$107,"Confirmado")</f>
        <v/>
      </c>
      <c r="F8" s="48">
        <f>IF(C8="","",C8-D8)</f>
        <v/>
      </c>
      <c r="G8" s="8" t="inlineStr">
        <is>
          <t>Capacidad de ejemplo. Cámbiala o bórrala.</t>
        </is>
      </c>
    </row>
    <row r="9" ht="20" customHeight="1">
      <c r="A9" s="48" t="n">
        <v>2</v>
      </c>
      <c r="B9" s="8" t="n"/>
      <c r="C9" s="18" t="n">
        <v>8</v>
      </c>
      <c r="D9" s="48">
        <f>SUMIF(Invitados!$N$8:$N$107,A9,Invitados!$I$8:$I$107)-SUMIFS(Invitados!$I$8:$I$107,Invitados!$N$8:$N$107,A9,Invitados!$K$8:$K$107,"Rechazado")</f>
        <v/>
      </c>
      <c r="E9" s="48">
        <f>SUMIFS(Invitados!$I$8:$I$107,Invitados!$N$8:$N$107,A9,Invitados!$K$8:$K$107,"Confirmado")</f>
        <v/>
      </c>
      <c r="F9" s="48">
        <f>IF(C9="","",C9-D9)</f>
        <v/>
      </c>
      <c r="G9" s="8" t="inlineStr">
        <is>
          <t>Capacidad de ejemplo. Cámbiala o bórrala.</t>
        </is>
      </c>
    </row>
    <row r="10" ht="20" customHeight="1">
      <c r="A10" s="48" t="n">
        <v>3</v>
      </c>
      <c r="B10" s="8" t="n"/>
      <c r="C10" s="18" t="n"/>
      <c r="D10" s="48">
        <f>SUMIF(Invitados!$N$8:$N$107,A10,Invitados!$I$8:$I$107)-SUMIFS(Invitados!$I$8:$I$107,Invitados!$N$8:$N$107,A10,Invitados!$K$8:$K$107,"Rechazado")</f>
        <v/>
      </c>
      <c r="E10" s="48">
        <f>SUMIFS(Invitados!$I$8:$I$107,Invitados!$N$8:$N$107,A10,Invitados!$K$8:$K$107,"Confirmado")</f>
        <v/>
      </c>
      <c r="F10" s="48">
        <f>IF(C10="","",C10-D10)</f>
        <v/>
      </c>
      <c r="G10" s="8" t="n"/>
    </row>
    <row r="11" ht="20" customHeight="1">
      <c r="A11" s="48" t="n">
        <v>4</v>
      </c>
      <c r="B11" s="8" t="n"/>
      <c r="C11" s="18" t="n"/>
      <c r="D11" s="48">
        <f>SUMIF(Invitados!$N$8:$N$107,A11,Invitados!$I$8:$I$107)-SUMIFS(Invitados!$I$8:$I$107,Invitados!$N$8:$N$107,A11,Invitados!$K$8:$K$107,"Rechazado")</f>
        <v/>
      </c>
      <c r="E11" s="48">
        <f>SUMIFS(Invitados!$I$8:$I$107,Invitados!$N$8:$N$107,A11,Invitados!$K$8:$K$107,"Confirmado")</f>
        <v/>
      </c>
      <c r="F11" s="48">
        <f>IF(C11="","",C11-D11)</f>
        <v/>
      </c>
      <c r="G11" s="8" t="n"/>
    </row>
    <row r="12" ht="20" customHeight="1">
      <c r="A12" s="48" t="n">
        <v>5</v>
      </c>
      <c r="B12" s="8" t="n"/>
      <c r="C12" s="18" t="n"/>
      <c r="D12" s="48">
        <f>SUMIF(Invitados!$N$8:$N$107,A12,Invitados!$I$8:$I$107)-SUMIFS(Invitados!$I$8:$I$107,Invitados!$N$8:$N$107,A12,Invitados!$K$8:$K$107,"Rechazado")</f>
        <v/>
      </c>
      <c r="E12" s="48">
        <f>SUMIFS(Invitados!$I$8:$I$107,Invitados!$N$8:$N$107,A12,Invitados!$K$8:$K$107,"Confirmado")</f>
        <v/>
      </c>
      <c r="F12" s="48">
        <f>IF(C12="","",C12-D12)</f>
        <v/>
      </c>
      <c r="G12" s="8" t="n"/>
    </row>
    <row r="13" ht="20" customHeight="1">
      <c r="A13" s="48" t="n">
        <v>6</v>
      </c>
      <c r="B13" s="8" t="n"/>
      <c r="C13" s="18" t="n"/>
      <c r="D13" s="48">
        <f>SUMIF(Invitados!$N$8:$N$107,A13,Invitados!$I$8:$I$107)-SUMIFS(Invitados!$I$8:$I$107,Invitados!$N$8:$N$107,A13,Invitados!$K$8:$K$107,"Rechazado")</f>
        <v/>
      </c>
      <c r="E13" s="48">
        <f>SUMIFS(Invitados!$I$8:$I$107,Invitados!$N$8:$N$107,A13,Invitados!$K$8:$K$107,"Confirmado")</f>
        <v/>
      </c>
      <c r="F13" s="48">
        <f>IF(C13="","",C13-D13)</f>
        <v/>
      </c>
      <c r="G13" s="8" t="n"/>
    </row>
    <row r="14" ht="20" customHeight="1">
      <c r="A14" s="48" t="n">
        <v>7</v>
      </c>
      <c r="B14" s="8" t="n"/>
      <c r="C14" s="18" t="n"/>
      <c r="D14" s="48">
        <f>SUMIF(Invitados!$N$8:$N$107,A14,Invitados!$I$8:$I$107)-SUMIFS(Invitados!$I$8:$I$107,Invitados!$N$8:$N$107,A14,Invitados!$K$8:$K$107,"Rechazado")</f>
        <v/>
      </c>
      <c r="E14" s="48">
        <f>SUMIFS(Invitados!$I$8:$I$107,Invitados!$N$8:$N$107,A14,Invitados!$K$8:$K$107,"Confirmado")</f>
        <v/>
      </c>
      <c r="F14" s="48">
        <f>IF(C14="","",C14-D14)</f>
        <v/>
      </c>
      <c r="G14" s="8" t="n"/>
    </row>
    <row r="15" ht="20" customHeight="1">
      <c r="A15" s="48" t="n">
        <v>8</v>
      </c>
      <c r="B15" s="8" t="n"/>
      <c r="C15" s="18" t="n"/>
      <c r="D15" s="48">
        <f>SUMIF(Invitados!$N$8:$N$107,A15,Invitados!$I$8:$I$107)-SUMIFS(Invitados!$I$8:$I$107,Invitados!$N$8:$N$107,A15,Invitados!$K$8:$K$107,"Rechazado")</f>
        <v/>
      </c>
      <c r="E15" s="48">
        <f>SUMIFS(Invitados!$I$8:$I$107,Invitados!$N$8:$N$107,A15,Invitados!$K$8:$K$107,"Confirmado")</f>
        <v/>
      </c>
      <c r="F15" s="48">
        <f>IF(C15="","",C15-D15)</f>
        <v/>
      </c>
      <c r="G15" s="8" t="n"/>
    </row>
    <row r="16" ht="20" customHeight="1">
      <c r="A16" s="48" t="n">
        <v>9</v>
      </c>
      <c r="B16" s="8" t="n"/>
      <c r="C16" s="18" t="n"/>
      <c r="D16" s="48">
        <f>SUMIF(Invitados!$N$8:$N$107,A16,Invitados!$I$8:$I$107)-SUMIFS(Invitados!$I$8:$I$107,Invitados!$N$8:$N$107,A16,Invitados!$K$8:$K$107,"Rechazado")</f>
        <v/>
      </c>
      <c r="E16" s="48">
        <f>SUMIFS(Invitados!$I$8:$I$107,Invitados!$N$8:$N$107,A16,Invitados!$K$8:$K$107,"Confirmado")</f>
        <v/>
      </c>
      <c r="F16" s="48">
        <f>IF(C16="","",C16-D16)</f>
        <v/>
      </c>
      <c r="G16" s="8" t="n"/>
    </row>
    <row r="17" ht="20" customHeight="1">
      <c r="A17" s="48" t="n">
        <v>10</v>
      </c>
      <c r="B17" s="8" t="n"/>
      <c r="C17" s="18" t="n"/>
      <c r="D17" s="48">
        <f>SUMIF(Invitados!$N$8:$N$107,A17,Invitados!$I$8:$I$107)-SUMIFS(Invitados!$I$8:$I$107,Invitados!$N$8:$N$107,A17,Invitados!$K$8:$K$107,"Rechazado")</f>
        <v/>
      </c>
      <c r="E17" s="48">
        <f>SUMIFS(Invitados!$I$8:$I$107,Invitados!$N$8:$N$107,A17,Invitados!$K$8:$K$107,"Confirmado")</f>
        <v/>
      </c>
      <c r="F17" s="48">
        <f>IF(C17="","",C17-D17)</f>
        <v/>
      </c>
      <c r="G17" s="8" t="n"/>
    </row>
    <row r="18" ht="20" customHeight="1">
      <c r="A18" s="48" t="n">
        <v>11</v>
      </c>
      <c r="B18" s="8" t="n"/>
      <c r="C18" s="18" t="n"/>
      <c r="D18" s="48">
        <f>SUMIF(Invitados!$N$8:$N$107,A18,Invitados!$I$8:$I$107)-SUMIFS(Invitados!$I$8:$I$107,Invitados!$N$8:$N$107,A18,Invitados!$K$8:$K$107,"Rechazado")</f>
        <v/>
      </c>
      <c r="E18" s="48">
        <f>SUMIFS(Invitados!$I$8:$I$107,Invitados!$N$8:$N$107,A18,Invitados!$K$8:$K$107,"Confirmado")</f>
        <v/>
      </c>
      <c r="F18" s="48">
        <f>IF(C18="","",C18-D18)</f>
        <v/>
      </c>
      <c r="G18" s="8" t="n"/>
    </row>
    <row r="19" ht="20" customHeight="1">
      <c r="A19" s="48" t="n">
        <v>12</v>
      </c>
      <c r="B19" s="8" t="n"/>
      <c r="C19" s="18" t="n"/>
      <c r="D19" s="48">
        <f>SUMIF(Invitados!$N$8:$N$107,A19,Invitados!$I$8:$I$107)-SUMIFS(Invitados!$I$8:$I$107,Invitados!$N$8:$N$107,A19,Invitados!$K$8:$K$107,"Rechazado")</f>
        <v/>
      </c>
      <c r="E19" s="48">
        <f>SUMIFS(Invitados!$I$8:$I$107,Invitados!$N$8:$N$107,A19,Invitados!$K$8:$K$107,"Confirmado")</f>
        <v/>
      </c>
      <c r="F19" s="48">
        <f>IF(C19="","",C19-D19)</f>
        <v/>
      </c>
      <c r="G19" s="8" t="n"/>
    </row>
    <row r="20" ht="20" customHeight="1">
      <c r="A20" s="48" t="n">
        <v>13</v>
      </c>
      <c r="B20" s="8" t="n"/>
      <c r="C20" s="18" t="n"/>
      <c r="D20" s="48">
        <f>SUMIF(Invitados!$N$8:$N$107,A20,Invitados!$I$8:$I$107)-SUMIFS(Invitados!$I$8:$I$107,Invitados!$N$8:$N$107,A20,Invitados!$K$8:$K$107,"Rechazado")</f>
        <v/>
      </c>
      <c r="E20" s="48">
        <f>SUMIFS(Invitados!$I$8:$I$107,Invitados!$N$8:$N$107,A20,Invitados!$K$8:$K$107,"Confirmado")</f>
        <v/>
      </c>
      <c r="F20" s="48">
        <f>IF(C20="","",C20-D20)</f>
        <v/>
      </c>
      <c r="G20" s="8" t="n"/>
    </row>
    <row r="21" ht="20" customHeight="1">
      <c r="A21" s="48" t="n">
        <v>14</v>
      </c>
      <c r="B21" s="8" t="n"/>
      <c r="C21" s="18" t="n"/>
      <c r="D21" s="48">
        <f>SUMIF(Invitados!$N$8:$N$107,A21,Invitados!$I$8:$I$107)-SUMIFS(Invitados!$I$8:$I$107,Invitados!$N$8:$N$107,A21,Invitados!$K$8:$K$107,"Rechazado")</f>
        <v/>
      </c>
      <c r="E21" s="48">
        <f>SUMIFS(Invitados!$I$8:$I$107,Invitados!$N$8:$N$107,A21,Invitados!$K$8:$K$107,"Confirmado")</f>
        <v/>
      </c>
      <c r="F21" s="48">
        <f>IF(C21="","",C21-D21)</f>
        <v/>
      </c>
      <c r="G21" s="8" t="n"/>
    </row>
    <row r="22" ht="20" customHeight="1">
      <c r="A22" s="48" t="n">
        <v>15</v>
      </c>
      <c r="B22" s="8" t="n"/>
      <c r="C22" s="18" t="n"/>
      <c r="D22" s="48">
        <f>SUMIF(Invitados!$N$8:$N$107,A22,Invitados!$I$8:$I$107)-SUMIFS(Invitados!$I$8:$I$107,Invitados!$N$8:$N$107,A22,Invitados!$K$8:$K$107,"Rechazado")</f>
        <v/>
      </c>
      <c r="E22" s="48">
        <f>SUMIFS(Invitados!$I$8:$I$107,Invitados!$N$8:$N$107,A22,Invitados!$K$8:$K$107,"Confirmado")</f>
        <v/>
      </c>
      <c r="F22" s="48">
        <f>IF(C22="","",C22-D22)</f>
        <v/>
      </c>
      <c r="G22" s="8" t="n"/>
    </row>
    <row r="23" ht="20" customHeight="1">
      <c r="A23" s="48" t="n">
        <v>16</v>
      </c>
      <c r="B23" s="8" t="n"/>
      <c r="C23" s="18" t="n"/>
      <c r="D23" s="48">
        <f>SUMIF(Invitados!$N$8:$N$107,A23,Invitados!$I$8:$I$107)-SUMIFS(Invitados!$I$8:$I$107,Invitados!$N$8:$N$107,A23,Invitados!$K$8:$K$107,"Rechazado")</f>
        <v/>
      </c>
      <c r="E23" s="48">
        <f>SUMIFS(Invitados!$I$8:$I$107,Invitados!$N$8:$N$107,A23,Invitados!$K$8:$K$107,"Confirmado")</f>
        <v/>
      </c>
      <c r="F23" s="48">
        <f>IF(C23="","",C23-D23)</f>
        <v/>
      </c>
      <c r="G23" s="8" t="n"/>
    </row>
    <row r="24" ht="20" customHeight="1">
      <c r="A24" s="48" t="n">
        <v>17</v>
      </c>
      <c r="B24" s="8" t="n"/>
      <c r="C24" s="18" t="n"/>
      <c r="D24" s="48">
        <f>SUMIF(Invitados!$N$8:$N$107,A24,Invitados!$I$8:$I$107)-SUMIFS(Invitados!$I$8:$I$107,Invitados!$N$8:$N$107,A24,Invitados!$K$8:$K$107,"Rechazado")</f>
        <v/>
      </c>
      <c r="E24" s="48">
        <f>SUMIFS(Invitados!$I$8:$I$107,Invitados!$N$8:$N$107,A24,Invitados!$K$8:$K$107,"Confirmado")</f>
        <v/>
      </c>
      <c r="F24" s="48">
        <f>IF(C24="","",C24-D24)</f>
        <v/>
      </c>
      <c r="G24" s="8" t="n"/>
    </row>
    <row r="25" ht="20" customHeight="1">
      <c r="A25" s="48" t="n">
        <v>18</v>
      </c>
      <c r="B25" s="8" t="n"/>
      <c r="C25" s="18" t="n"/>
      <c r="D25" s="48">
        <f>SUMIF(Invitados!$N$8:$N$107,A25,Invitados!$I$8:$I$107)-SUMIFS(Invitados!$I$8:$I$107,Invitados!$N$8:$N$107,A25,Invitados!$K$8:$K$107,"Rechazado")</f>
        <v/>
      </c>
      <c r="E25" s="48">
        <f>SUMIFS(Invitados!$I$8:$I$107,Invitados!$N$8:$N$107,A25,Invitados!$K$8:$K$107,"Confirmado")</f>
        <v/>
      </c>
      <c r="F25" s="48">
        <f>IF(C25="","",C25-D25)</f>
        <v/>
      </c>
      <c r="G25" s="8" t="n"/>
    </row>
    <row r="26" ht="20" customHeight="1">
      <c r="A26" s="48" t="n">
        <v>19</v>
      </c>
      <c r="B26" s="8" t="n"/>
      <c r="C26" s="18" t="n"/>
      <c r="D26" s="48">
        <f>SUMIF(Invitados!$N$8:$N$107,A26,Invitados!$I$8:$I$107)-SUMIFS(Invitados!$I$8:$I$107,Invitados!$N$8:$N$107,A26,Invitados!$K$8:$K$107,"Rechazado")</f>
        <v/>
      </c>
      <c r="E26" s="48">
        <f>SUMIFS(Invitados!$I$8:$I$107,Invitados!$N$8:$N$107,A26,Invitados!$K$8:$K$107,"Confirmado")</f>
        <v/>
      </c>
      <c r="F26" s="48">
        <f>IF(C26="","",C26-D26)</f>
        <v/>
      </c>
      <c r="G26" s="8" t="n"/>
    </row>
    <row r="27" ht="20" customHeight="1">
      <c r="A27" s="48" t="n">
        <v>20</v>
      </c>
      <c r="B27" s="8" t="n"/>
      <c r="C27" s="18" t="n"/>
      <c r="D27" s="48">
        <f>SUMIF(Invitados!$N$8:$N$107,A27,Invitados!$I$8:$I$107)-SUMIFS(Invitados!$I$8:$I$107,Invitados!$N$8:$N$107,A27,Invitados!$K$8:$K$107,"Rechazado")</f>
        <v/>
      </c>
      <c r="E27" s="48">
        <f>SUMIFS(Invitados!$I$8:$I$107,Invitados!$N$8:$N$107,A27,Invitados!$K$8:$K$107,"Confirmado")</f>
        <v/>
      </c>
      <c r="F27" s="48">
        <f>IF(C27="","",C27-D27)</f>
        <v/>
      </c>
      <c r="G27" s="8" t="n"/>
    </row>
  </sheetData>
  <autoFilter ref="A7:G27"/>
  <mergeCells count="2">
    <mergeCell ref="A2:G2"/>
    <mergeCell ref="A1:G1"/>
  </mergeCells>
  <conditionalFormatting sqref="F8:F27">
    <cfRule type="expression" priority="1" dxfId="11">
      <formula>F8&lt;0</formula>
    </cfRule>
  </conditionalFormatting>
  <dataValidations count="1">
    <dataValidation sqref="C8:C27" showDropDown="0" showInputMessage="0" showErrorMessage="1" allowBlank="1" errorTitle="Revisa el número" error="La capacidad es un número entero, o queda vacía si no usas la mesa." type="whole" operator="greaterThanOrEqual">
      <formula1>0</formula1>
    </dataValidation>
  </dataValidations>
  <printOptions horizontalCentered="1"/>
  <pageMargins left="0.5" right="0.5" top="0.55" bottom="0.5" header="0.2" footer="0.25"/>
  <pageSetup orientation="landscape" paperSize="9" fitToHeight="0" fitToWidth="1"/>
  <headerFooter>
    <oddHeader/>
    <oddFooter>&amp;LPlan de la fiesta de boda&amp;RPágina &amp;P de &amp;N</oddFooter>
    <evenHeader/>
    <evenFooter/>
    <firstHeader/>
    <firstFooter/>
  </headerFooter>
</worksheet>
</file>

<file path=xl/worksheets/sheet5.xml><?xml version="1.0" encoding="utf-8"?>
<worksheet xmlns="http://schemas.openxmlformats.org/spreadsheetml/2006/main">
  <sheetPr>
    <tabColor rgb="006B2D3C"/>
    <outlinePr summaryBelow="1" summaryRight="1"/>
    <pageSetUpPr fitToPage="1"/>
  </sheetPr>
  <dimension ref="A1:J27"/>
  <sheetViews>
    <sheetView showGridLines="0" zoomScale="110" workbookViewId="0">
      <pane ySplit="7" topLeftCell="A8" activePane="bottomLeft" state="frozen"/>
      <selection pane="bottomLeft" activeCell="A1" sqref="A1"/>
    </sheetView>
  </sheetViews>
  <sheetFormatPr baseColWidth="8" defaultRowHeight="18"/>
  <cols>
    <col width="16" customWidth="1" min="1" max="1"/>
    <col width="28" customWidth="1" min="2" max="2"/>
    <col width="52" customWidth="1" min="3" max="3"/>
    <col width="12" customWidth="1" min="4" max="4"/>
    <col width="14" customWidth="1" min="5" max="5"/>
    <col width="28" customWidth="1" min="6" max="6"/>
    <col width="3" customWidth="1" min="7" max="7"/>
    <col width="20" customWidth="1" min="8" max="8"/>
    <col width="16" customWidth="1" min="9" max="9"/>
    <col width="14" customWidth="1" min="10" max="10"/>
  </cols>
  <sheetData>
    <row r="1" ht="36" customHeight="1">
      <c r="A1" s="1" t="inlineStr">
        <is>
          <t>Menú</t>
        </is>
      </c>
      <c r="B1" s="2" t="n"/>
      <c r="C1" s="2" t="n"/>
      <c r="D1" s="2" t="n"/>
      <c r="E1" s="2" t="n"/>
      <c r="F1" s="2" t="n"/>
      <c r="G1" s="2" t="n"/>
      <c r="H1" s="2" t="n"/>
      <c r="I1" s="2" t="n"/>
      <c r="J1" s="2" t="n"/>
    </row>
    <row r="2" ht="34" customHeight="1">
      <c r="A2" s="3" t="inlineStr">
        <is>
          <t>Las porciones usan a las personas confirmadas. Si todavía no hay confirmados, usan los invitados previstos. El dinero de la comida se anota en Presupuesto, no aquí.</t>
        </is>
      </c>
      <c r="B2" s="4" t="n"/>
      <c r="C2" s="4" t="n"/>
      <c r="D2" s="4" t="n"/>
      <c r="E2" s="4" t="n"/>
      <c r="F2" s="4" t="n"/>
      <c r="G2" s="4" t="n"/>
      <c r="H2" s="4" t="n"/>
      <c r="I2" s="4" t="n"/>
      <c r="J2" s="4" t="n"/>
    </row>
    <row r="3" ht="10" customHeight="1"/>
    <row r="7" ht="32" customHeight="1">
      <c r="A7" s="39" t="inlineStr">
        <is>
          <t>Momento</t>
        </is>
      </c>
      <c r="B7" s="39" t="inlineStr">
        <is>
          <t>Qué se sirve</t>
        </is>
      </c>
      <c r="C7" s="39" t="inlineStr">
        <is>
          <t>Descripción</t>
        </is>
      </c>
      <c r="D7" s="39" t="inlineStr">
        <is>
          <t>Ajuste</t>
        </is>
      </c>
      <c r="E7" s="39" t="inlineStr">
        <is>
          <t>Porciones</t>
        </is>
      </c>
      <c r="F7" s="39" t="inlineStr">
        <is>
          <t>Notas</t>
        </is>
      </c>
      <c r="H7" s="39" t="inlineStr">
        <is>
          <t>Menú</t>
        </is>
      </c>
      <c r="I7" s="39" t="inlineStr">
        <is>
          <t>Confirmadas</t>
        </is>
      </c>
      <c r="J7" s="39" t="inlineStr">
        <is>
          <t>En la lista</t>
        </is>
      </c>
    </row>
    <row r="8" ht="20" customHeight="1">
      <c r="A8" s="8" t="inlineStr">
        <is>
          <t>Cóctel</t>
        </is>
      </c>
      <c r="B8" s="8" t="inlineStr">
        <is>
          <t>Bocadillos salados</t>
        </is>
      </c>
      <c r="C8" s="8" t="inlineStr">
        <is>
          <t>Algo para picar al llegar</t>
        </is>
      </c>
      <c r="D8" s="21" t="n"/>
      <c r="E8" s="48">
        <f>IF(AND(A8="",B8=""),"",IF(D8&lt;&gt;"",D8,IF(PersonasConfirmadas&gt;0,PersonasConfirmadas,IF(InvitadosPrevistos="","",InvitadosPrevistos))))</f>
        <v/>
      </c>
      <c r="F8" s="8" t="n"/>
      <c r="H8" s="41" t="inlineStr">
        <is>
          <t>Estándar</t>
        </is>
      </c>
      <c r="I8" s="48">
        <f>SUMIFS(Invitados!$I$8:$I$107,Invitados!$M$8:$M$107,H8,Invitados!$K$8:$K$107,"Confirmado")</f>
        <v/>
      </c>
      <c r="J8" s="48">
        <f>SUMIF(Invitados!$M$8:$M$107,H8,Invitados!$I$8:$I$107)</f>
        <v/>
      </c>
    </row>
    <row r="9" ht="20" customHeight="1">
      <c r="A9" s="8" t="inlineStr">
        <is>
          <t>Cóctel</t>
        </is>
      </c>
      <c r="B9" s="8" t="inlineStr">
        <is>
          <t>Estación para picar</t>
        </is>
      </c>
      <c r="C9" s="8" t="inlineStr">
        <is>
          <t>Quesos, fruta o lo que prefieran</t>
        </is>
      </c>
      <c r="D9" s="21" t="n"/>
      <c r="E9" s="48">
        <f>IF(AND(A9="",B9=""),"",IF(D9&lt;&gt;"",D9,IF(PersonasConfirmadas&gt;0,PersonasConfirmadas,IF(InvitadosPrevistos="","",InvitadosPrevistos))))</f>
        <v/>
      </c>
      <c r="F9" s="8" t="n"/>
      <c r="H9" s="41" t="inlineStr">
        <is>
          <t>Vegetariano</t>
        </is>
      </c>
      <c r="I9" s="48">
        <f>SUMIFS(Invitados!$I$8:$I$107,Invitados!$M$8:$M$107,H9,Invitados!$K$8:$K$107,"Confirmado")</f>
        <v/>
      </c>
      <c r="J9" s="48">
        <f>SUMIF(Invitados!$M$8:$M$107,H9,Invitados!$I$8:$I$107)</f>
        <v/>
      </c>
    </row>
    <row r="10" ht="20" customHeight="1">
      <c r="A10" s="8" t="inlineStr">
        <is>
          <t>Cena</t>
        </is>
      </c>
      <c r="B10" s="8" t="inlineStr">
        <is>
          <t>Entrada</t>
        </is>
      </c>
      <c r="C10" s="8" t="inlineStr"/>
      <c r="D10" s="21" t="n"/>
      <c r="E10" s="48">
        <f>IF(AND(A10="",B10=""),"",IF(D10&lt;&gt;"",D10,IF(PersonasConfirmadas&gt;0,PersonasConfirmadas,IF(InvitadosPrevistos="","",InvitadosPrevistos))))</f>
        <v/>
      </c>
      <c r="F10" s="8" t="n"/>
      <c r="H10" s="41" t="inlineStr">
        <is>
          <t>Vegano</t>
        </is>
      </c>
      <c r="I10" s="48">
        <f>SUMIFS(Invitados!$I$8:$I$107,Invitados!$M$8:$M$107,H10,Invitados!$K$8:$K$107,"Confirmado")</f>
        <v/>
      </c>
      <c r="J10" s="48">
        <f>SUMIF(Invitados!$M$8:$M$107,H10,Invitados!$I$8:$I$107)</f>
        <v/>
      </c>
    </row>
    <row r="11" ht="20" customHeight="1">
      <c r="A11" s="8" t="inlineStr">
        <is>
          <t>Cena</t>
        </is>
      </c>
      <c r="B11" s="8" t="inlineStr">
        <is>
          <t>Plato fuerte</t>
        </is>
      </c>
      <c r="C11" s="8" t="inlineStr"/>
      <c r="D11" s="21" t="n"/>
      <c r="E11" s="48">
        <f>IF(AND(A11="",B11=""),"",IF(D11&lt;&gt;"",D11,IF(PersonasConfirmadas&gt;0,PersonasConfirmadas,IF(InvitadosPrevistos="","",InvitadosPrevistos))))</f>
        <v/>
      </c>
      <c r="F11" s="8" t="n"/>
      <c r="H11" s="43" t="inlineStr">
        <is>
          <t>Sin gluten</t>
        </is>
      </c>
      <c r="I11" s="48">
        <f>SUMIFS(Invitados!$I$8:$I$107,Invitados!$M$8:$M$107,H11,Invitados!$K$8:$K$107,"Confirmado")</f>
        <v/>
      </c>
      <c r="J11" s="48">
        <f>SUMIF(Invitados!$M$8:$M$107,H11,Invitados!$I$8:$I$107)</f>
        <v/>
      </c>
    </row>
    <row r="12" ht="20" customHeight="1">
      <c r="A12" s="8" t="inlineStr">
        <is>
          <t>Cena</t>
        </is>
      </c>
      <c r="B12" s="8" t="inlineStr">
        <is>
          <t>Opción vegetariana</t>
        </is>
      </c>
      <c r="C12" s="8" t="inlineStr">
        <is>
          <t>Cuadra este plato con el conteo de la derecha</t>
        </is>
      </c>
      <c r="D12" s="21" t="n"/>
      <c r="E12" s="48">
        <f>IF(AND(A12="",B12=""),"",IF(D12&lt;&gt;"",D12,IF(PersonasConfirmadas&gt;0,PersonasConfirmadas,IF(InvitadosPrevistos="","",InvitadosPrevistos))))</f>
        <v/>
      </c>
      <c r="F12" s="8" t="n"/>
      <c r="H12" s="41" t="inlineStr">
        <is>
          <t>Infantil</t>
        </is>
      </c>
      <c r="I12" s="48">
        <f>SUMIFS(Invitados!$I$8:$I$107,Invitados!$M$8:$M$107,H12,Invitados!$K$8:$K$107,"Confirmado")</f>
        <v/>
      </c>
      <c r="J12" s="48">
        <f>SUMIF(Invitados!$M$8:$M$107,H12,Invitados!$I$8:$I$107)</f>
        <v/>
      </c>
    </row>
    <row r="13" ht="20" customHeight="1">
      <c r="A13" s="8" t="inlineStr">
        <is>
          <t>Cena</t>
        </is>
      </c>
      <c r="B13" s="8" t="inlineStr">
        <is>
          <t>Plato para niños</t>
        </is>
      </c>
      <c r="C13" s="8" t="inlineStr"/>
      <c r="D13" s="21" t="n"/>
      <c r="E13" s="48">
        <f>IF(AND(A13="",B13=""),"",IF(D13&lt;&gt;"",D13,IF(PersonasConfirmadas&gt;0,PersonasConfirmadas,IF(InvitadosPrevistos="","",InvitadosPrevistos))))</f>
        <v/>
      </c>
      <c r="F13" s="8" t="n"/>
      <c r="H13" s="41" t="inlineStr">
        <is>
          <t>Otro</t>
        </is>
      </c>
      <c r="I13" s="48">
        <f>SUMIFS(Invitados!$I$8:$I$107,Invitados!$M$8:$M$107,H13,Invitados!$K$8:$K$107,"Confirmado")</f>
        <v/>
      </c>
      <c r="J13" s="48">
        <f>SUMIF(Invitados!$M$8:$M$107,H13,Invitados!$I$8:$I$107)</f>
        <v/>
      </c>
    </row>
    <row r="14" ht="20" customHeight="1">
      <c r="A14" s="8" t="inlineStr">
        <is>
          <t>Postre</t>
        </is>
      </c>
      <c r="B14" s="8" t="inlineStr">
        <is>
          <t>Pastel</t>
        </is>
      </c>
      <c r="C14" s="8" t="inlineStr">
        <is>
          <t>Piensa en una rebanada por persona</t>
        </is>
      </c>
      <c r="D14" s="21" t="n"/>
      <c r="E14" s="48">
        <f>IF(AND(A14="",B14=""),"",IF(D14&lt;&gt;"",D14,IF(PersonasConfirmadas&gt;0,PersonasConfirmadas,IF(InvitadosPrevistos="","",InvitadosPrevistos))))</f>
        <v/>
      </c>
      <c r="F14" s="8" t="n"/>
      <c r="H14" s="43" t="inlineStr">
        <is>
          <t>Sin menú elegido</t>
        </is>
      </c>
      <c r="I14" s="48">
        <f>SUMIFS(Invitados!$I$8:$I$107,Invitados!$M$8:$M$107,"",Invitados!$K$8:$K$107,"Confirmado")</f>
        <v/>
      </c>
      <c r="J14" s="48">
        <f>SUMIF(Invitados!$M$8:$M$107,"",Invitados!$I$8:$I$107)</f>
        <v/>
      </c>
    </row>
    <row r="15" ht="20" customHeight="1">
      <c r="A15" s="8" t="inlineStr">
        <is>
          <t>Postre</t>
        </is>
      </c>
      <c r="B15" s="8" t="inlineStr">
        <is>
          <t>Mesa de postres</t>
        </is>
      </c>
      <c r="C15" s="8" t="inlineStr">
        <is>
          <t>Opcional</t>
        </is>
      </c>
      <c r="D15" s="21" t="n"/>
      <c r="E15" s="48">
        <f>IF(AND(A15="",B15=""),"",IF(D15&lt;&gt;"",D15,IF(PersonasConfirmadas&gt;0,PersonasConfirmadas,IF(InvitadosPrevistos="","",InvitadosPrevistos))))</f>
        <v/>
      </c>
      <c r="F15" s="8" t="n"/>
    </row>
    <row r="16" ht="20" customHeight="1">
      <c r="A16" s="8" t="inlineStr">
        <is>
          <t>Barra</t>
        </is>
      </c>
      <c r="B16" s="8" t="inlineStr">
        <is>
          <t>Trago de bienvenida</t>
        </is>
      </c>
      <c r="C16" s="8" t="inlineStr"/>
      <c r="D16" s="21" t="n"/>
      <c r="E16" s="48">
        <f>IF(AND(A16="",B16=""),"",IF(D16&lt;&gt;"",D16,IF(PersonasConfirmadas&gt;0,PersonasConfirmadas,IF(InvitadosPrevistos="","",InvitadosPrevistos))))</f>
        <v/>
      </c>
      <c r="F16" s="8" t="n"/>
    </row>
    <row r="17" ht="20" customHeight="1">
      <c r="A17" s="8" t="inlineStr">
        <is>
          <t>Barra</t>
        </is>
      </c>
      <c r="B17" s="8" t="inlineStr">
        <is>
          <t>Bebidas de la cena</t>
        </is>
      </c>
      <c r="C17" s="8" t="inlineStr"/>
      <c r="D17" s="21" t="n"/>
      <c r="E17" s="48">
        <f>IF(AND(A17="",B17=""),"",IF(D17&lt;&gt;"",D17,IF(PersonasConfirmadas&gt;0,PersonasConfirmadas,IF(InvitadosPrevistos="","",InvitadosPrevistos))))</f>
        <v/>
      </c>
      <c r="F17" s="8" t="n"/>
    </row>
    <row r="18" ht="20" customHeight="1">
      <c r="A18" s="8" t="inlineStr">
        <is>
          <t>Barra</t>
        </is>
      </c>
      <c r="B18" s="8" t="inlineStr">
        <is>
          <t>Brindis</t>
        </is>
      </c>
      <c r="C18" s="8" t="inlineStr"/>
      <c r="D18" s="21" t="n"/>
      <c r="E18" s="48">
        <f>IF(AND(A18="",B18=""),"",IF(D18&lt;&gt;"",D18,IF(PersonasConfirmadas&gt;0,PersonasConfirmadas,IF(InvitadosPrevistos="","",InvitadosPrevistos))))</f>
        <v/>
      </c>
      <c r="F18" s="8" t="n"/>
    </row>
    <row r="19" ht="20" customHeight="1">
      <c r="A19" s="8" t="inlineStr">
        <is>
          <t>Barra</t>
        </is>
      </c>
      <c r="B19" s="8" t="inlineStr">
        <is>
          <t>Después de la cena</t>
        </is>
      </c>
      <c r="C19" s="8" t="inlineStr"/>
      <c r="D19" s="21" t="n"/>
      <c r="E19" s="48">
        <f>IF(AND(A19="",B19=""),"",IF(D19&lt;&gt;"",D19,IF(PersonasConfirmadas&gt;0,PersonasConfirmadas,IF(InvitadosPrevistos="","",InvitadosPrevistos))))</f>
        <v/>
      </c>
      <c r="F19" s="8" t="n"/>
    </row>
    <row r="20" ht="20" customHeight="1">
      <c r="A20" s="8" t="n"/>
      <c r="B20" s="8" t="n"/>
      <c r="C20" s="8" t="n"/>
      <c r="D20" s="21" t="n"/>
      <c r="E20" s="48">
        <f>IF(AND(A20="",B20=""),"",IF(D20&lt;&gt;"",D20,IF(PersonasConfirmadas&gt;0,PersonasConfirmadas,IF(InvitadosPrevistos="","",InvitadosPrevistos))))</f>
        <v/>
      </c>
      <c r="F20" s="8" t="n"/>
    </row>
    <row r="21" ht="20" customHeight="1">
      <c r="A21" s="8" t="n"/>
      <c r="B21" s="8" t="n"/>
      <c r="C21" s="8" t="n"/>
      <c r="D21" s="21" t="n"/>
      <c r="E21" s="48">
        <f>IF(AND(A21="",B21=""),"",IF(D21&lt;&gt;"",D21,IF(PersonasConfirmadas&gt;0,PersonasConfirmadas,IF(InvitadosPrevistos="","",InvitadosPrevistos))))</f>
        <v/>
      </c>
      <c r="F21" s="8" t="n"/>
    </row>
    <row r="22" ht="20" customHeight="1">
      <c r="A22" s="8" t="n"/>
      <c r="B22" s="8" t="n"/>
      <c r="C22" s="8" t="n"/>
      <c r="D22" s="21" t="n"/>
      <c r="E22" s="48">
        <f>IF(AND(A22="",B22=""),"",IF(D22&lt;&gt;"",D22,IF(PersonasConfirmadas&gt;0,PersonasConfirmadas,IF(InvitadosPrevistos="","",InvitadosPrevistos))))</f>
        <v/>
      </c>
      <c r="F22" s="8" t="n"/>
    </row>
    <row r="23" ht="20" customHeight="1">
      <c r="A23" s="8" t="n"/>
      <c r="B23" s="8" t="n"/>
      <c r="C23" s="8" t="n"/>
      <c r="D23" s="21" t="n"/>
      <c r="E23" s="48">
        <f>IF(AND(A23="",B23=""),"",IF(D23&lt;&gt;"",D23,IF(PersonasConfirmadas&gt;0,PersonasConfirmadas,IF(InvitadosPrevistos="","",InvitadosPrevistos))))</f>
        <v/>
      </c>
      <c r="F23" s="8" t="n"/>
    </row>
    <row r="24" ht="20" customHeight="1">
      <c r="A24" s="8" t="n"/>
      <c r="B24" s="8" t="n"/>
      <c r="C24" s="8" t="n"/>
      <c r="D24" s="21" t="n"/>
      <c r="E24" s="48">
        <f>IF(AND(A24="",B24=""),"",IF(D24&lt;&gt;"",D24,IF(PersonasConfirmadas&gt;0,PersonasConfirmadas,IF(InvitadosPrevistos="","",InvitadosPrevistos))))</f>
        <v/>
      </c>
      <c r="F24" s="8" t="n"/>
    </row>
    <row r="25" ht="20" customHeight="1">
      <c r="A25" s="8" t="n"/>
      <c r="B25" s="8" t="n"/>
      <c r="C25" s="8" t="n"/>
      <c r="D25" s="21" t="n"/>
      <c r="E25" s="48">
        <f>IF(AND(A25="",B25=""),"",IF(D25&lt;&gt;"",D25,IF(PersonasConfirmadas&gt;0,PersonasConfirmadas,IF(InvitadosPrevistos="","",InvitadosPrevistos))))</f>
        <v/>
      </c>
      <c r="F25" s="8" t="n"/>
    </row>
    <row r="26" ht="20" customHeight="1">
      <c r="A26" s="8" t="n"/>
      <c r="B26" s="8" t="n"/>
      <c r="C26" s="8" t="n"/>
      <c r="D26" s="21" t="n"/>
      <c r="E26" s="48">
        <f>IF(AND(A26="",B26=""),"",IF(D26&lt;&gt;"",D26,IF(PersonasConfirmadas&gt;0,PersonasConfirmadas,IF(InvitadosPrevistos="","",InvitadosPrevistos))))</f>
        <v/>
      </c>
      <c r="F26" s="8" t="n"/>
    </row>
    <row r="27" ht="20" customHeight="1">
      <c r="A27" s="8" t="n"/>
      <c r="B27" s="8" t="n"/>
      <c r="C27" s="8" t="n"/>
      <c r="D27" s="21" t="n"/>
      <c r="E27" s="48">
        <f>IF(AND(A27="",B27=""),"",IF(D27&lt;&gt;"",D27,IF(PersonasConfirmadas&gt;0,PersonasConfirmadas,IF(InvitadosPrevistos="","",InvitadosPrevistos))))</f>
        <v/>
      </c>
      <c r="F27" s="8" t="n"/>
    </row>
  </sheetData>
  <autoFilter ref="A7:F27"/>
  <mergeCells count="2">
    <mergeCell ref="A1:J1"/>
    <mergeCell ref="A2:J2"/>
  </mergeCells>
  <dataValidations count="1">
    <dataValidation sqref="D8:D27" showDropDown="0" showInputMessage="0" showErrorMessage="1" allowBlank="1" errorTitle="Revisa el número" error="El ajuste de porciones tiene que ser un número igual o mayor que cero." type="decimal" operator="greaterThanOrEqual">
      <formula1>0</formula1>
    </dataValidation>
  </dataValidations>
  <printOptions horizontalCentered="1"/>
  <pageMargins left="0.5" right="0.5" top="0.55" bottom="0.5" header="0.2" footer="0.25"/>
  <pageSetup orientation="landscape" paperSize="9" fitToHeight="0" fitToWidth="1"/>
  <headerFooter>
    <oddHeader/>
    <oddFooter>&amp;LPlan de la fiesta de boda&amp;RPágina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8C6A3D"/>
    <outlinePr summaryBelow="1" summaryRight="1"/>
    <pageSetUpPr fitToPage="1"/>
  </sheetPr>
  <dimension ref="A1:M34"/>
  <sheetViews>
    <sheetView showGridLines="0" zoomScale="110" workbookViewId="0">
      <pane ySplit="7" topLeftCell="A8" activePane="bottomLeft" state="frozen"/>
      <selection pane="bottomLeft" activeCell="A1" sqref="A1"/>
    </sheetView>
  </sheetViews>
  <sheetFormatPr baseColWidth="8" defaultRowHeight="18"/>
  <cols>
    <col width="24" customWidth="1" min="1" max="1"/>
    <col width="28" customWidth="1" min="2" max="2"/>
    <col width="22" customWidth="1" min="3" max="3"/>
    <col width="16" customWidth="1" min="4" max="4"/>
    <col width="28" customWidth="1" min="5" max="5"/>
    <col width="36" customWidth="1" min="6" max="6"/>
    <col width="14" customWidth="1" min="7" max="7"/>
    <col width="14" customWidth="1" min="8" max="8"/>
    <col width="14" customWidth="1" min="9" max="9"/>
    <col width="14" customWidth="1" min="10" max="10"/>
    <col width="16" customWidth="1" min="11" max="11"/>
    <col width="20" customWidth="1" min="12" max="12"/>
    <col width="32" customWidth="1" min="13" max="13"/>
  </cols>
  <sheetData>
    <row r="1" ht="36" customHeight="1">
      <c r="A1" s="1" t="inlineStr">
        <is>
          <t>Proveedores</t>
        </is>
      </c>
      <c r="B1" s="2" t="n"/>
      <c r="C1" s="2" t="n"/>
      <c r="D1" s="2" t="n"/>
      <c r="E1" s="2" t="n"/>
      <c r="F1" s="2" t="n"/>
      <c r="G1" s="2" t="n"/>
      <c r="H1" s="2" t="n"/>
      <c r="I1" s="2" t="n"/>
      <c r="J1" s="2" t="n"/>
      <c r="K1" s="2" t="n"/>
      <c r="L1" s="2" t="n"/>
      <c r="M1" s="2" t="n"/>
    </row>
    <row r="2" ht="34" customHeight="1">
      <c r="A2" s="3" t="inlineStr">
        <is>
          <t>Aquí van contactos y cotizaciones, también las que no vas a contratar. Si escribes Pagado, el saldo usa ese total. Si Pagado está vacío, resta solo el anticipo. El monto elegido se copia a Presupuesto.</t>
        </is>
      </c>
      <c r="B2" s="4" t="n"/>
      <c r="C2" s="4" t="n"/>
      <c r="D2" s="4" t="n"/>
      <c r="E2" s="4" t="n"/>
      <c r="F2" s="4" t="n"/>
      <c r="G2" s="4" t="n"/>
      <c r="H2" s="4" t="n"/>
      <c r="I2" s="4" t="n"/>
      <c r="J2" s="4" t="n"/>
      <c r="K2" s="4" t="n"/>
      <c r="L2" s="4" t="n"/>
      <c r="M2" s="4" t="n"/>
    </row>
    <row r="3" ht="10" customHeight="1"/>
    <row r="7" ht="32" customHeight="1">
      <c r="A7" s="39" t="inlineStr">
        <is>
          <t>Categoría</t>
        </is>
      </c>
      <c r="B7" s="39" t="inlineStr">
        <is>
          <t>Proveedor</t>
        </is>
      </c>
      <c r="C7" s="39" t="inlineStr">
        <is>
          <t>Contacto</t>
        </is>
      </c>
      <c r="D7" s="39" t="inlineStr">
        <is>
          <t>Teléfono</t>
        </is>
      </c>
      <c r="E7" s="39" t="inlineStr">
        <is>
          <t>Correo</t>
        </is>
      </c>
      <c r="F7" s="39" t="inlineStr">
        <is>
          <t>Qué incluye</t>
        </is>
      </c>
      <c r="G7" s="39" t="inlineStr">
        <is>
          <t>Cotización</t>
        </is>
      </c>
      <c r="H7" s="39" t="inlineStr">
        <is>
          <t>Anticipo</t>
        </is>
      </c>
      <c r="I7" s="39" t="inlineStr">
        <is>
          <t>Pagado</t>
        </is>
      </c>
      <c r="J7" s="39" t="inlineStr">
        <is>
          <t>Saldo</t>
        </is>
      </c>
      <c r="K7" s="39" t="inlineStr">
        <is>
          <t>Fecha límite</t>
        </is>
      </c>
      <c r="L7" s="39" t="inlineStr">
        <is>
          <t>Estado</t>
        </is>
      </c>
      <c r="M7" s="39" t="inlineStr">
        <is>
          <t>Notas</t>
        </is>
      </c>
    </row>
    <row r="8" ht="20" customHeight="1">
      <c r="A8" s="8" t="inlineStr">
        <is>
          <t>Lugar</t>
        </is>
      </c>
      <c r="B8" s="8" t="n"/>
      <c r="C8" s="8" t="n"/>
      <c r="D8" s="26" t="n"/>
      <c r="E8" s="8" t="n"/>
      <c r="F8" s="8" t="n"/>
      <c r="G8" s="21" t="n"/>
      <c r="H8" s="21" t="n"/>
      <c r="I8" s="21" t="n"/>
      <c r="J8" s="40">
        <f>IF(AND(G8="",H8="",I8=""),"",N(G8)-IF(I8="",N(H8),N(I8)))</f>
        <v/>
      </c>
      <c r="K8" s="11" t="n"/>
      <c r="L8" s="8" t="n"/>
      <c r="M8" s="8" t="n"/>
    </row>
    <row r="9" ht="20" customHeight="1">
      <c r="A9" s="8" t="inlineStr">
        <is>
          <t>Banquete</t>
        </is>
      </c>
      <c r="B9" s="8" t="n"/>
      <c r="C9" s="8" t="n"/>
      <c r="D9" s="26" t="n"/>
      <c r="E9" s="8" t="n"/>
      <c r="F9" s="8" t="n"/>
      <c r="G9" s="21" t="n"/>
      <c r="H9" s="21" t="n"/>
      <c r="I9" s="21" t="n"/>
      <c r="J9" s="40">
        <f>IF(AND(G9="",H9="",I9=""),"",N(G9)-IF(I9="",N(H9),N(I9)))</f>
        <v/>
      </c>
      <c r="K9" s="11" t="n"/>
      <c r="L9" s="8" t="n"/>
      <c r="M9" s="8" t="n"/>
    </row>
    <row r="10" ht="20" customHeight="1">
      <c r="A10" s="8" t="inlineStr">
        <is>
          <t>Bebidas</t>
        </is>
      </c>
      <c r="B10" s="8" t="n"/>
      <c r="C10" s="8" t="n"/>
      <c r="D10" s="26" t="n"/>
      <c r="E10" s="8" t="n"/>
      <c r="F10" s="8" t="n"/>
      <c r="G10" s="21" t="n"/>
      <c r="H10" s="21" t="n"/>
      <c r="I10" s="21" t="n"/>
      <c r="J10" s="40">
        <f>IF(AND(G10="",H10="",I10=""),"",N(G10)-IF(I10="",N(H10),N(I10)))</f>
        <v/>
      </c>
      <c r="K10" s="11" t="n"/>
      <c r="L10" s="8" t="n"/>
      <c r="M10" s="8" t="n"/>
    </row>
    <row r="11" ht="20" customHeight="1">
      <c r="A11" s="8" t="inlineStr">
        <is>
          <t>Pastel</t>
        </is>
      </c>
      <c r="B11" s="8" t="n"/>
      <c r="C11" s="8" t="n"/>
      <c r="D11" s="26" t="n"/>
      <c r="E11" s="8" t="n"/>
      <c r="F11" s="8" t="n"/>
      <c r="G11" s="21" t="n"/>
      <c r="H11" s="21" t="n"/>
      <c r="I11" s="21" t="n"/>
      <c r="J11" s="40">
        <f>IF(AND(G11="",H11="",I11=""),"",N(G11)-IF(I11="",N(H11),N(I11)))</f>
        <v/>
      </c>
      <c r="K11" s="11" t="n"/>
      <c r="L11" s="8" t="n"/>
      <c r="M11" s="8" t="n"/>
    </row>
    <row r="12" ht="20" customHeight="1">
      <c r="A12" s="8" t="inlineStr">
        <is>
          <t>Música</t>
        </is>
      </c>
      <c r="B12" s="8" t="n"/>
      <c r="C12" s="8" t="n"/>
      <c r="D12" s="26" t="n"/>
      <c r="E12" s="8" t="n"/>
      <c r="F12" s="8" t="n"/>
      <c r="G12" s="21" t="n"/>
      <c r="H12" s="21" t="n"/>
      <c r="I12" s="21" t="n"/>
      <c r="J12" s="40">
        <f>IF(AND(G12="",H12="",I12=""),"",N(G12)-IF(I12="",N(H12),N(I12)))</f>
        <v/>
      </c>
      <c r="K12" s="11" t="n"/>
      <c r="L12" s="8" t="n"/>
      <c r="M12" s="8" t="n"/>
    </row>
    <row r="13" ht="20" customHeight="1">
      <c r="A13" s="8" t="inlineStr">
        <is>
          <t>Foto y video</t>
        </is>
      </c>
      <c r="B13" s="8" t="n"/>
      <c r="C13" s="8" t="n"/>
      <c r="D13" s="26" t="n"/>
      <c r="E13" s="8" t="n"/>
      <c r="F13" s="8" t="n"/>
      <c r="G13" s="21" t="n"/>
      <c r="H13" s="21" t="n"/>
      <c r="I13" s="21" t="n"/>
      <c r="J13" s="40">
        <f>IF(AND(G13="",H13="",I13=""),"",N(G13)-IF(I13="",N(H13),N(I13)))</f>
        <v/>
      </c>
      <c r="K13" s="11" t="n"/>
      <c r="L13" s="8" t="n"/>
      <c r="M13" s="8" t="n"/>
    </row>
    <row r="14" ht="20" customHeight="1">
      <c r="A14" s="8" t="inlineStr">
        <is>
          <t>Flores y decoración</t>
        </is>
      </c>
      <c r="B14" s="8" t="n"/>
      <c r="C14" s="8" t="n"/>
      <c r="D14" s="26" t="n"/>
      <c r="E14" s="8" t="n"/>
      <c r="F14" s="8" t="n"/>
      <c r="G14" s="21" t="n"/>
      <c r="H14" s="21" t="n"/>
      <c r="I14" s="21" t="n"/>
      <c r="J14" s="40">
        <f>IF(AND(G14="",H14="",I14=""),"",N(G14)-IF(I14="",N(H14),N(I14)))</f>
        <v/>
      </c>
      <c r="K14" s="11" t="n"/>
      <c r="L14" s="8" t="n"/>
      <c r="M14" s="8" t="n"/>
    </row>
    <row r="15" ht="20" customHeight="1">
      <c r="A15" s="8" t="inlineStr">
        <is>
          <t>Invitaciones</t>
        </is>
      </c>
      <c r="B15" s="8" t="n"/>
      <c r="C15" s="8" t="n"/>
      <c r="D15" s="26" t="n"/>
      <c r="E15" s="8" t="n"/>
      <c r="F15" s="8" t="n"/>
      <c r="G15" s="21" t="n"/>
      <c r="H15" s="21" t="n"/>
      <c r="I15" s="21" t="n"/>
      <c r="J15" s="40">
        <f>IF(AND(G15="",H15="",I15=""),"",N(G15)-IF(I15="",N(H15),N(I15)))</f>
        <v/>
      </c>
      <c r="K15" s="11" t="n"/>
      <c r="L15" s="8" t="n"/>
      <c r="M15" s="8" t="n"/>
    </row>
    <row r="16" ht="20" customHeight="1">
      <c r="A16" s="8" t="inlineStr">
        <is>
          <t>Vestuario</t>
        </is>
      </c>
      <c r="B16" s="8" t="n"/>
      <c r="C16" s="8" t="n"/>
      <c r="D16" s="26" t="n"/>
      <c r="E16" s="8" t="n"/>
      <c r="F16" s="8" t="n"/>
      <c r="G16" s="21" t="n"/>
      <c r="H16" s="21" t="n"/>
      <c r="I16" s="21" t="n"/>
      <c r="J16" s="40">
        <f>IF(AND(G16="",H16="",I16=""),"",N(G16)-IF(I16="",N(H16),N(I16)))</f>
        <v/>
      </c>
      <c r="K16" s="11" t="n"/>
      <c r="L16" s="8" t="n"/>
      <c r="M16" s="8" t="n"/>
    </row>
    <row r="17" ht="20" customHeight="1">
      <c r="A17" s="8" t="inlineStr">
        <is>
          <t>Belleza</t>
        </is>
      </c>
      <c r="B17" s="8" t="n"/>
      <c r="C17" s="8" t="n"/>
      <c r="D17" s="26" t="n"/>
      <c r="E17" s="8" t="n"/>
      <c r="F17" s="8" t="n"/>
      <c r="G17" s="21" t="n"/>
      <c r="H17" s="21" t="n"/>
      <c r="I17" s="21" t="n"/>
      <c r="J17" s="40">
        <f>IF(AND(G17="",H17="",I17=""),"",N(G17)-IF(I17="",N(H17),N(I17)))</f>
        <v/>
      </c>
      <c r="K17" s="11" t="n"/>
      <c r="L17" s="8" t="n"/>
      <c r="M17" s="8" t="n"/>
    </row>
    <row r="18" ht="20" customHeight="1">
      <c r="A18" s="8" t="inlineStr">
        <is>
          <t>Transporte</t>
        </is>
      </c>
      <c r="B18" s="8" t="n"/>
      <c r="C18" s="8" t="n"/>
      <c r="D18" s="26" t="n"/>
      <c r="E18" s="8" t="n"/>
      <c r="F18" s="8" t="n"/>
      <c r="G18" s="21" t="n"/>
      <c r="H18" s="21" t="n"/>
      <c r="I18" s="21" t="n"/>
      <c r="J18" s="40">
        <f>IF(AND(G18="",H18="",I18=""),"",N(G18)-IF(I18="",N(H18),N(I18)))</f>
        <v/>
      </c>
      <c r="K18" s="11" t="n"/>
      <c r="L18" s="8" t="n"/>
      <c r="M18" s="8" t="n"/>
    </row>
    <row r="19" ht="20" customHeight="1">
      <c r="A19" s="8" t="inlineStr">
        <is>
          <t>Mobiliario</t>
        </is>
      </c>
      <c r="B19" s="8" t="n"/>
      <c r="C19" s="8" t="n"/>
      <c r="D19" s="26" t="n"/>
      <c r="E19" s="8" t="n"/>
      <c r="F19" s="8" t="n"/>
      <c r="G19" s="21" t="n"/>
      <c r="H19" s="21" t="n"/>
      <c r="I19" s="21" t="n"/>
      <c r="J19" s="40">
        <f>IF(AND(G19="",H19="",I19=""),"",N(G19)-IF(I19="",N(H19),N(I19)))</f>
        <v/>
      </c>
      <c r="K19" s="11" t="n"/>
      <c r="L19" s="8" t="n"/>
      <c r="M19" s="8" t="n"/>
    </row>
    <row r="20" ht="20" customHeight="1">
      <c r="A20" s="8" t="inlineStr">
        <is>
          <t>Recuerdos</t>
        </is>
      </c>
      <c r="B20" s="8" t="n"/>
      <c r="C20" s="8" t="n"/>
      <c r="D20" s="26" t="n"/>
      <c r="E20" s="8" t="n"/>
      <c r="F20" s="8" t="n"/>
      <c r="G20" s="21" t="n"/>
      <c r="H20" s="21" t="n"/>
      <c r="I20" s="21" t="n"/>
      <c r="J20" s="40">
        <f>IF(AND(G20="",H20="",I20=""),"",N(G20)-IF(I20="",N(H20),N(I20)))</f>
        <v/>
      </c>
      <c r="K20" s="11" t="n"/>
      <c r="L20" s="8" t="n"/>
      <c r="M20" s="8" t="n"/>
    </row>
    <row r="21" ht="20" customHeight="1">
      <c r="A21" s="8" t="inlineStr">
        <is>
          <t>Coordinación</t>
        </is>
      </c>
      <c r="B21" s="8" t="n"/>
      <c r="C21" s="8" t="n"/>
      <c r="D21" s="26" t="n"/>
      <c r="E21" s="8" t="n"/>
      <c r="F21" s="8" t="n"/>
      <c r="G21" s="21" t="n"/>
      <c r="H21" s="21" t="n"/>
      <c r="I21" s="21" t="n"/>
      <c r="J21" s="40">
        <f>IF(AND(G21="",H21="",I21=""),"",N(G21)-IF(I21="",N(H21),N(I21)))</f>
        <v/>
      </c>
      <c r="K21" s="11" t="n"/>
      <c r="L21" s="8" t="n"/>
      <c r="M21" s="8" t="n"/>
    </row>
    <row r="22" ht="20" customHeight="1">
      <c r="A22" s="8" t="inlineStr">
        <is>
          <t>Otra</t>
        </is>
      </c>
      <c r="B22" s="8" t="n"/>
      <c r="C22" s="8" t="n"/>
      <c r="D22" s="26" t="n"/>
      <c r="E22" s="8" t="n"/>
      <c r="F22" s="8" t="n"/>
      <c r="G22" s="21" t="n"/>
      <c r="H22" s="21" t="n"/>
      <c r="I22" s="21" t="n"/>
      <c r="J22" s="40">
        <f>IF(AND(G22="",H22="",I22=""),"",N(G22)-IF(I22="",N(H22),N(I22)))</f>
        <v/>
      </c>
      <c r="K22" s="11" t="n"/>
      <c r="L22" s="8" t="n"/>
      <c r="M22" s="8" t="n"/>
    </row>
    <row r="23" ht="20" customHeight="1">
      <c r="A23" s="8" t="n"/>
      <c r="B23" s="8" t="n"/>
      <c r="C23" s="8" t="n"/>
      <c r="D23" s="26" t="n"/>
      <c r="E23" s="8" t="n"/>
      <c r="F23" s="8" t="n"/>
      <c r="G23" s="21" t="n"/>
      <c r="H23" s="21" t="n"/>
      <c r="I23" s="21" t="n"/>
      <c r="J23" s="40">
        <f>IF(AND(G23="",H23="",I23=""),"",N(G23)-IF(I23="",N(H23),N(I23)))</f>
        <v/>
      </c>
      <c r="K23" s="11" t="n"/>
      <c r="L23" s="8" t="n"/>
      <c r="M23" s="8" t="n"/>
    </row>
    <row r="24" ht="20" customHeight="1">
      <c r="A24" s="8" t="n"/>
      <c r="B24" s="8" t="n"/>
      <c r="C24" s="8" t="n"/>
      <c r="D24" s="26" t="n"/>
      <c r="E24" s="8" t="n"/>
      <c r="F24" s="8" t="n"/>
      <c r="G24" s="21" t="n"/>
      <c r="H24" s="21" t="n"/>
      <c r="I24" s="21" t="n"/>
      <c r="J24" s="40">
        <f>IF(AND(G24="",H24="",I24=""),"",N(G24)-IF(I24="",N(H24),N(I24)))</f>
        <v/>
      </c>
      <c r="K24" s="11" t="n"/>
      <c r="L24" s="8" t="n"/>
      <c r="M24" s="8" t="n"/>
    </row>
    <row r="25" ht="20" customHeight="1">
      <c r="A25" s="8" t="n"/>
      <c r="B25" s="8" t="n"/>
      <c r="C25" s="8" t="n"/>
      <c r="D25" s="26" t="n"/>
      <c r="E25" s="8" t="n"/>
      <c r="F25" s="8" t="n"/>
      <c r="G25" s="21" t="n"/>
      <c r="H25" s="21" t="n"/>
      <c r="I25" s="21" t="n"/>
      <c r="J25" s="40">
        <f>IF(AND(G25="",H25="",I25=""),"",N(G25)-IF(I25="",N(H25),N(I25)))</f>
        <v/>
      </c>
      <c r="K25" s="11" t="n"/>
      <c r="L25" s="8" t="n"/>
      <c r="M25" s="8" t="n"/>
    </row>
    <row r="26" ht="20" customHeight="1">
      <c r="A26" s="8" t="n"/>
      <c r="B26" s="8" t="n"/>
      <c r="C26" s="8" t="n"/>
      <c r="D26" s="26" t="n"/>
      <c r="E26" s="8" t="n"/>
      <c r="F26" s="8" t="n"/>
      <c r="G26" s="21" t="n"/>
      <c r="H26" s="21" t="n"/>
      <c r="I26" s="21" t="n"/>
      <c r="J26" s="40">
        <f>IF(AND(G26="",H26="",I26=""),"",N(G26)-IF(I26="",N(H26),N(I26)))</f>
        <v/>
      </c>
      <c r="K26" s="11" t="n"/>
      <c r="L26" s="8" t="n"/>
      <c r="M26" s="8" t="n"/>
    </row>
    <row r="27" ht="20" customHeight="1">
      <c r="A27" s="8" t="n"/>
      <c r="B27" s="8" t="n"/>
      <c r="C27" s="8" t="n"/>
      <c r="D27" s="26" t="n"/>
      <c r="E27" s="8" t="n"/>
      <c r="F27" s="8" t="n"/>
      <c r="G27" s="21" t="n"/>
      <c r="H27" s="21" t="n"/>
      <c r="I27" s="21" t="n"/>
      <c r="J27" s="40">
        <f>IF(AND(G27="",H27="",I27=""),"",N(G27)-IF(I27="",N(H27),N(I27)))</f>
        <v/>
      </c>
      <c r="K27" s="11" t="n"/>
      <c r="L27" s="8" t="n"/>
      <c r="M27" s="8" t="n"/>
    </row>
    <row r="28" ht="20" customHeight="1">
      <c r="A28" s="8" t="n"/>
      <c r="B28" s="8" t="n"/>
      <c r="C28" s="8" t="n"/>
      <c r="D28" s="26" t="n"/>
      <c r="E28" s="8" t="n"/>
      <c r="F28" s="8" t="n"/>
      <c r="G28" s="21" t="n"/>
      <c r="H28" s="21" t="n"/>
      <c r="I28" s="21" t="n"/>
      <c r="J28" s="40">
        <f>IF(AND(G28="",H28="",I28=""),"",N(G28)-IF(I28="",N(H28),N(I28)))</f>
        <v/>
      </c>
      <c r="K28" s="11" t="n"/>
      <c r="L28" s="8" t="n"/>
      <c r="M28" s="8" t="n"/>
    </row>
    <row r="29" ht="20" customHeight="1">
      <c r="A29" s="8" t="n"/>
      <c r="B29" s="8" t="n"/>
      <c r="C29" s="8" t="n"/>
      <c r="D29" s="26" t="n"/>
      <c r="E29" s="8" t="n"/>
      <c r="F29" s="8" t="n"/>
      <c r="G29" s="21" t="n"/>
      <c r="H29" s="21" t="n"/>
      <c r="I29" s="21" t="n"/>
      <c r="J29" s="40">
        <f>IF(AND(G29="",H29="",I29=""),"",N(G29)-IF(I29="",N(H29),N(I29)))</f>
        <v/>
      </c>
      <c r="K29" s="11" t="n"/>
      <c r="L29" s="8" t="n"/>
      <c r="M29" s="8" t="n"/>
    </row>
    <row r="30" ht="20" customHeight="1">
      <c r="A30" s="8" t="n"/>
      <c r="B30" s="8" t="n"/>
      <c r="C30" s="8" t="n"/>
      <c r="D30" s="26" t="n"/>
      <c r="E30" s="8" t="n"/>
      <c r="F30" s="8" t="n"/>
      <c r="G30" s="21" t="n"/>
      <c r="H30" s="21" t="n"/>
      <c r="I30" s="21" t="n"/>
      <c r="J30" s="40">
        <f>IF(AND(G30="",H30="",I30=""),"",N(G30)-IF(I30="",N(H30),N(I30)))</f>
        <v/>
      </c>
      <c r="K30" s="11" t="n"/>
      <c r="L30" s="8" t="n"/>
      <c r="M30" s="8" t="n"/>
    </row>
    <row r="31" ht="20" customHeight="1">
      <c r="A31" s="8" t="n"/>
      <c r="B31" s="8" t="n"/>
      <c r="C31" s="8" t="n"/>
      <c r="D31" s="26" t="n"/>
      <c r="E31" s="8" t="n"/>
      <c r="F31" s="8" t="n"/>
      <c r="G31" s="21" t="n"/>
      <c r="H31" s="21" t="n"/>
      <c r="I31" s="21" t="n"/>
      <c r="J31" s="40">
        <f>IF(AND(G31="",H31="",I31=""),"",N(G31)-IF(I31="",N(H31),N(I31)))</f>
        <v/>
      </c>
      <c r="K31" s="11" t="n"/>
      <c r="L31" s="8" t="n"/>
      <c r="M31" s="8" t="n"/>
    </row>
    <row r="32" ht="20" customHeight="1">
      <c r="A32" s="8" t="n"/>
      <c r="B32" s="8" t="n"/>
      <c r="C32" s="8" t="n"/>
      <c r="D32" s="26" t="n"/>
      <c r="E32" s="8" t="n"/>
      <c r="F32" s="8" t="n"/>
      <c r="G32" s="21" t="n"/>
      <c r="H32" s="21" t="n"/>
      <c r="I32" s="21" t="n"/>
      <c r="J32" s="40">
        <f>IF(AND(G32="",H32="",I32=""),"",N(G32)-IF(I32="",N(H32),N(I32)))</f>
        <v/>
      </c>
      <c r="K32" s="11" t="n"/>
      <c r="L32" s="8" t="n"/>
      <c r="M32" s="8" t="n"/>
    </row>
    <row r="33" ht="20" customHeight="1">
      <c r="A33" s="8" t="n"/>
      <c r="B33" s="8" t="n"/>
      <c r="C33" s="8" t="n"/>
      <c r="D33" s="26" t="n"/>
      <c r="E33" s="8" t="n"/>
      <c r="F33" s="8" t="n"/>
      <c r="G33" s="21" t="n"/>
      <c r="H33" s="21" t="n"/>
      <c r="I33" s="21" t="n"/>
      <c r="J33" s="40">
        <f>IF(AND(G33="",H33="",I33=""),"",N(G33)-IF(I33="",N(H33),N(I33)))</f>
        <v/>
      </c>
      <c r="K33" s="11" t="n"/>
      <c r="L33" s="8" t="n"/>
      <c r="M33" s="8" t="n"/>
    </row>
    <row r="34" ht="20" customHeight="1">
      <c r="A34" s="8" t="n"/>
      <c r="B34" s="8" t="n"/>
      <c r="C34" s="8" t="n"/>
      <c r="D34" s="26" t="n"/>
      <c r="E34" s="8" t="n"/>
      <c r="F34" s="8" t="n"/>
      <c r="G34" s="21" t="n"/>
      <c r="H34" s="21" t="n"/>
      <c r="I34" s="21" t="n"/>
      <c r="J34" s="40">
        <f>IF(AND(G34="",H34="",I34=""),"",N(G34)-IF(I34="",N(H34),N(I34)))</f>
        <v/>
      </c>
      <c r="K34" s="11" t="n"/>
      <c r="L34" s="8" t="n"/>
      <c r="M34" s="8" t="n"/>
    </row>
  </sheetData>
  <autoFilter ref="A7:M34"/>
  <mergeCells count="2">
    <mergeCell ref="A2:M2"/>
    <mergeCell ref="A1:M1"/>
  </mergeCells>
  <conditionalFormatting sqref="L8:L34">
    <cfRule type="expression" priority="1" dxfId="7">
      <formula>L8="Contratado"</formula>
    </cfRule>
    <cfRule type="expression" priority="2" dxfId="8">
      <formula>L8="Cotizado"</formula>
    </cfRule>
    <cfRule type="expression" priority="3" dxfId="9">
      <formula>L8="Descartado"</formula>
    </cfRule>
    <cfRule type="expression" priority="4" dxfId="8">
      <formula>L8="En conversación"</formula>
    </cfRule>
  </conditionalFormatting>
  <conditionalFormatting sqref="K8:K34">
    <cfRule type="expression" priority="5" dxfId="10">
      <formula>AND(K8&lt;&gt;"",K8&lt;TODAY(),J8&gt;0,L8&lt;&gt;"Descartado")</formula>
    </cfRule>
  </conditionalFormatting>
  <dataValidations count="3">
    <dataValidation sqref="A8:A34" showDropDown="0" showInputMessage="0" showErrorMessage="0" allowBlank="1" errorTitle="Elige una opción" error="Elige una categoría o escribe otra." type="list">
      <formula1>=Listas!$A$2:$A$16</formula1>
    </dataValidation>
    <dataValidation sqref="L8:L34" showDropDown="0" showInputMessage="0" showErrorMessage="1" allowBlank="1" errorTitle="Elige una opción" error="Elige un estado de la lista." type="list">
      <formula1>=Listas!$G$2:$G$6</formula1>
    </dataValidation>
    <dataValidation sqref="G8:I34" showDropDown="0" showInputMessage="0" showErrorMessage="1" allowBlank="1" errorTitle="Revisa el número" error="El monto tiene que ser igual o mayor que cero." type="decimal" operator="greaterThanOrEqual">
      <formula1>0</formula1>
    </dataValidation>
  </dataValidations>
  <printOptions horizontalCentered="1"/>
  <pageMargins left="0.5" right="0.5" top="0.55" bottom="0.5" header="0.2" footer="0.25"/>
  <pageSetup orientation="landscape" paperSize="9" fitToHeight="0" fitToWidth="1"/>
  <headerFooter>
    <oddHeader/>
    <oddFooter>&amp;LPlan de la fiesta de boda&amp;RPágina &amp;P de &amp;N</oddFooter>
    <evenHeader/>
    <evenFooter/>
    <firstHeader/>
    <firstFooter/>
  </headerFooter>
</worksheet>
</file>

<file path=xl/worksheets/sheet7.xml><?xml version="1.0" encoding="utf-8"?>
<worksheet xmlns="http://schemas.openxmlformats.org/spreadsheetml/2006/main">
  <sheetPr>
    <tabColor rgb="001F1A17"/>
    <outlinePr summaryBelow="1" summaryRight="1"/>
    <pageSetUpPr fitToPage="1"/>
  </sheetPr>
  <dimension ref="A1:H49"/>
  <sheetViews>
    <sheetView showGridLines="0" zoomScale="110" workbookViewId="0">
      <pane ySplit="7" topLeftCell="A8" activePane="bottomLeft" state="frozen"/>
      <selection pane="bottomLeft" activeCell="A1" sqref="A1"/>
    </sheetView>
  </sheetViews>
  <sheetFormatPr baseColWidth="8" defaultRowHeight="18"/>
  <cols>
    <col width="22" customWidth="1" min="1" max="1"/>
    <col width="62" customWidth="1" min="2" max="2"/>
    <col width="22" customWidth="1" min="3" max="3"/>
    <col width="14" customWidth="1" min="4" max="4"/>
    <col width="16" customWidth="1" min="5" max="5"/>
    <col width="14" customWidth="1" min="6" max="6"/>
    <col width="14" customWidth="1" min="7" max="7"/>
    <col width="36" customWidth="1" min="8" max="8"/>
  </cols>
  <sheetData>
    <row r="1" ht="36" customHeight="1">
      <c r="A1" s="1" t="inlineStr">
        <is>
          <t>Tareas</t>
        </is>
      </c>
      <c r="B1" s="2" t="n"/>
      <c r="C1" s="2" t="n"/>
      <c r="D1" s="2" t="n"/>
      <c r="E1" s="2" t="n"/>
      <c r="F1" s="2" t="n"/>
      <c r="G1" s="2" t="n"/>
      <c r="H1" s="2" t="n"/>
    </row>
    <row r="2" ht="34" customHeight="1">
      <c r="A2" s="3" t="inlineStr">
        <is>
          <t>La fecha límite resta los días a la fecha de la fiesta. Cambia Días antes si quieres mover una tarea. Inicio cuenta como avance las que marcas Hecho.</t>
        </is>
      </c>
      <c r="B2" s="4" t="n"/>
      <c r="C2" s="4" t="n"/>
      <c r="D2" s="4" t="n"/>
      <c r="E2" s="4" t="n"/>
      <c r="F2" s="4" t="n"/>
      <c r="G2" s="4" t="n"/>
      <c r="H2" s="4" t="n"/>
    </row>
    <row r="3" ht="10" customHeight="1"/>
    <row r="7" ht="32" customHeight="1">
      <c r="A7" s="39" t="inlineStr">
        <is>
          <t>Fase</t>
        </is>
      </c>
      <c r="B7" s="39" t="inlineStr">
        <is>
          <t>Tarea</t>
        </is>
      </c>
      <c r="C7" s="39" t="inlineStr">
        <is>
          <t>Responsable</t>
        </is>
      </c>
      <c r="D7" s="39" t="inlineStr">
        <is>
          <t>Días antes</t>
        </is>
      </c>
      <c r="E7" s="39" t="inlineStr">
        <is>
          <t>Fecha límite</t>
        </is>
      </c>
      <c r="F7" s="39" t="inlineStr">
        <is>
          <t>Prioridad</t>
        </is>
      </c>
      <c r="G7" s="39" t="inlineStr">
        <is>
          <t>Estado</t>
        </is>
      </c>
      <c r="H7" s="39" t="inlineStr">
        <is>
          <t>Notas</t>
        </is>
      </c>
    </row>
    <row r="8" ht="22" customHeight="1">
      <c r="A8" s="52" t="inlineStr">
        <is>
          <t>Con 12 meses</t>
        </is>
      </c>
      <c r="B8" s="52" t="inlineStr">
        <is>
          <t>Definir la fecha y la ciudad</t>
        </is>
      </c>
      <c r="C8" s="8" t="n"/>
      <c r="D8" s="18" t="n">
        <v>365</v>
      </c>
      <c r="E8" s="53">
        <f>IF(OR(FechaFiesta="",D8=""),"",FechaFiesta-D8)</f>
        <v/>
      </c>
      <c r="F8" s="8" t="inlineStr">
        <is>
          <t>Alta</t>
        </is>
      </c>
      <c r="G8" s="8" t="inlineStr">
        <is>
          <t>Por hacer</t>
        </is>
      </c>
      <c r="H8" s="8" t="n"/>
    </row>
    <row r="9" ht="22" customHeight="1">
      <c r="A9" s="52" t="inlineStr">
        <is>
          <t>Con 12 meses</t>
        </is>
      </c>
      <c r="B9" s="52" t="inlineStr">
        <is>
          <t>Acordar el presupuesto total</t>
        </is>
      </c>
      <c r="C9" s="8" t="n"/>
      <c r="D9" s="18" t="n">
        <v>360</v>
      </c>
      <c r="E9" s="53">
        <f>IF(OR(FechaFiesta="",D9=""),"",FechaFiesta-D9)</f>
        <v/>
      </c>
      <c r="F9" s="8" t="inlineStr">
        <is>
          <t>Alta</t>
        </is>
      </c>
      <c r="G9" s="8" t="inlineStr">
        <is>
          <t>Por hacer</t>
        </is>
      </c>
      <c r="H9" s="8" t="n"/>
    </row>
    <row r="10" ht="22" customHeight="1">
      <c r="A10" s="52" t="inlineStr">
        <is>
          <t>Con 12 meses</t>
        </is>
      </c>
      <c r="B10" s="52" t="inlineStr">
        <is>
          <t>Hacer la lista preliminar de invitados</t>
        </is>
      </c>
      <c r="C10" s="8" t="n"/>
      <c r="D10" s="18" t="n">
        <v>340</v>
      </c>
      <c r="E10" s="53">
        <f>IF(OR(FechaFiesta="",D10=""),"",FechaFiesta-D10)</f>
        <v/>
      </c>
      <c r="F10" s="8" t="inlineStr">
        <is>
          <t>Alta</t>
        </is>
      </c>
      <c r="G10" s="8" t="inlineStr">
        <is>
          <t>Por hacer</t>
        </is>
      </c>
      <c r="H10" s="8" t="n"/>
    </row>
    <row r="11" ht="22" customHeight="1">
      <c r="A11" s="52" t="inlineStr">
        <is>
          <t>Con 12 meses</t>
        </is>
      </c>
      <c r="B11" s="52" t="inlineStr">
        <is>
          <t>Visitar y apartar el lugar</t>
        </is>
      </c>
      <c r="C11" s="8" t="n"/>
      <c r="D11" s="18" t="n">
        <v>300</v>
      </c>
      <c r="E11" s="53">
        <f>IF(OR(FechaFiesta="",D11=""),"",FechaFiesta-D11)</f>
        <v/>
      </c>
      <c r="F11" s="8" t="inlineStr">
        <is>
          <t>Alta</t>
        </is>
      </c>
      <c r="G11" s="8" t="inlineStr">
        <is>
          <t>Por hacer</t>
        </is>
      </c>
      <c r="H11" s="8" t="n"/>
    </row>
    <row r="12" ht="22" customHeight="1">
      <c r="A12" s="54" t="inlineStr">
        <is>
          <t>De 6 a 9 meses</t>
        </is>
      </c>
      <c r="B12" s="54" t="inlineStr">
        <is>
          <t>Definir el estilo de la fiesta</t>
        </is>
      </c>
      <c r="C12" s="8" t="n"/>
      <c r="D12" s="18" t="n">
        <v>270</v>
      </c>
      <c r="E12" s="53">
        <f>IF(OR(FechaFiesta="",D12=""),"",FechaFiesta-D12)</f>
        <v/>
      </c>
      <c r="F12" s="8" t="inlineStr">
        <is>
          <t>Media</t>
        </is>
      </c>
      <c r="G12" s="8" t="inlineStr">
        <is>
          <t>Por hacer</t>
        </is>
      </c>
      <c r="H12" s="8" t="n"/>
    </row>
    <row r="13" ht="22" customHeight="1">
      <c r="A13" s="54" t="inlineStr">
        <is>
          <t>De 6 a 9 meses</t>
        </is>
      </c>
      <c r="B13" s="54" t="inlineStr">
        <is>
          <t>Contratar el banquete</t>
        </is>
      </c>
      <c r="C13" s="8" t="n"/>
      <c r="D13" s="18" t="n">
        <v>240</v>
      </c>
      <c r="E13" s="53">
        <f>IF(OR(FechaFiesta="",D13=""),"",FechaFiesta-D13)</f>
        <v/>
      </c>
      <c r="F13" s="8" t="inlineStr">
        <is>
          <t>Alta</t>
        </is>
      </c>
      <c r="G13" s="8" t="inlineStr">
        <is>
          <t>Por hacer</t>
        </is>
      </c>
      <c r="H13" s="8" t="n"/>
    </row>
    <row r="14" ht="22" customHeight="1">
      <c r="A14" s="54" t="inlineStr">
        <is>
          <t>De 6 a 9 meses</t>
        </is>
      </c>
      <c r="B14" s="54" t="inlineStr">
        <is>
          <t>Contratar la música</t>
        </is>
      </c>
      <c r="C14" s="8" t="n"/>
      <c r="D14" s="18" t="n">
        <v>240</v>
      </c>
      <c r="E14" s="53">
        <f>IF(OR(FechaFiesta="",D14=""),"",FechaFiesta-D14)</f>
        <v/>
      </c>
      <c r="F14" s="8" t="inlineStr">
        <is>
          <t>Alta</t>
        </is>
      </c>
      <c r="G14" s="8" t="inlineStr">
        <is>
          <t>Por hacer</t>
        </is>
      </c>
      <c r="H14" s="8" t="n"/>
    </row>
    <row r="15" ht="22" customHeight="1">
      <c r="A15" s="54" t="inlineStr">
        <is>
          <t>De 6 a 9 meses</t>
        </is>
      </c>
      <c r="B15" s="54" t="inlineStr">
        <is>
          <t>Contratar foto y video</t>
        </is>
      </c>
      <c r="C15" s="8" t="n"/>
      <c r="D15" s="18" t="n">
        <v>210</v>
      </c>
      <c r="E15" s="53">
        <f>IF(OR(FechaFiesta="",D15=""),"",FechaFiesta-D15)</f>
        <v/>
      </c>
      <c r="F15" s="8" t="inlineStr">
        <is>
          <t>Media</t>
        </is>
      </c>
      <c r="G15" s="8" t="inlineStr">
        <is>
          <t>Por hacer</t>
        </is>
      </c>
      <c r="H15" s="8" t="n"/>
    </row>
    <row r="16" ht="22" customHeight="1">
      <c r="A16" s="54" t="inlineStr">
        <is>
          <t>De 6 a 9 meses</t>
        </is>
      </c>
      <c r="B16" s="54" t="inlineStr">
        <is>
          <t>Elegir vestuario y agendar pruebas</t>
        </is>
      </c>
      <c r="C16" s="8" t="n"/>
      <c r="D16" s="18" t="n">
        <v>210</v>
      </c>
      <c r="E16" s="53">
        <f>IF(OR(FechaFiesta="",D16=""),"",FechaFiesta-D16)</f>
        <v/>
      </c>
      <c r="F16" s="8" t="inlineStr">
        <is>
          <t>Media</t>
        </is>
      </c>
      <c r="G16" s="8" t="inlineStr">
        <is>
          <t>Por hacer</t>
        </is>
      </c>
      <c r="H16" s="8" t="n"/>
    </row>
    <row r="17" ht="22" customHeight="1">
      <c r="A17" s="54" t="inlineStr">
        <is>
          <t>De 6 a 9 meses</t>
        </is>
      </c>
      <c r="B17" s="54" t="inlineStr">
        <is>
          <t>Enviar el save the date</t>
        </is>
      </c>
      <c r="C17" s="8" t="n"/>
      <c r="D17" s="18" t="n">
        <v>180</v>
      </c>
      <c r="E17" s="53">
        <f>IF(OR(FechaFiesta="",D17=""),"",FechaFiesta-D17)</f>
        <v/>
      </c>
      <c r="F17" s="8" t="inlineStr">
        <is>
          <t>Media</t>
        </is>
      </c>
      <c r="G17" s="8" t="inlineStr">
        <is>
          <t>Por hacer</t>
        </is>
      </c>
      <c r="H17" s="8" t="n"/>
    </row>
    <row r="18" ht="22" customHeight="1">
      <c r="A18" s="52" t="inlineStr">
        <is>
          <t>De 3 a 6 meses</t>
        </is>
      </c>
      <c r="B18" s="52" t="inlineStr">
        <is>
          <t>Cerrar menú, barra y opción para niños</t>
        </is>
      </c>
      <c r="C18" s="8" t="n"/>
      <c r="D18" s="18" t="n">
        <v>150</v>
      </c>
      <c r="E18" s="53">
        <f>IF(OR(FechaFiesta="",D18=""),"",FechaFiesta-D18)</f>
        <v/>
      </c>
      <c r="F18" s="8" t="inlineStr">
        <is>
          <t>Alta</t>
        </is>
      </c>
      <c r="G18" s="8" t="inlineStr">
        <is>
          <t>Por hacer</t>
        </is>
      </c>
      <c r="H18" s="8" t="n"/>
    </row>
    <row r="19" ht="22" customHeight="1">
      <c r="A19" s="52" t="inlineStr">
        <is>
          <t>De 3 a 6 meses</t>
        </is>
      </c>
      <c r="B19" s="52" t="inlineStr">
        <is>
          <t>Encargar el pastel</t>
        </is>
      </c>
      <c r="C19" s="8" t="n"/>
      <c r="D19" s="18" t="n">
        <v>140</v>
      </c>
      <c r="E19" s="53">
        <f>IF(OR(FechaFiesta="",D19=""),"",FechaFiesta-D19)</f>
        <v/>
      </c>
      <c r="F19" s="8" t="inlineStr">
        <is>
          <t>Media</t>
        </is>
      </c>
      <c r="G19" s="8" t="inlineStr">
        <is>
          <t>Por hacer</t>
        </is>
      </c>
      <c r="H19" s="8" t="n"/>
    </row>
    <row r="20" ht="22" customHeight="1">
      <c r="A20" s="52" t="inlineStr">
        <is>
          <t>De 3 a 6 meses</t>
        </is>
      </c>
      <c r="B20" s="52" t="inlineStr">
        <is>
          <t>Contratar flores y decoración</t>
        </is>
      </c>
      <c r="C20" s="8" t="n"/>
      <c r="D20" s="18" t="n">
        <v>120</v>
      </c>
      <c r="E20" s="53">
        <f>IF(OR(FechaFiesta="",D20=""),"",FechaFiesta-D20)</f>
        <v/>
      </c>
      <c r="F20" s="8" t="inlineStr">
        <is>
          <t>Media</t>
        </is>
      </c>
      <c r="G20" s="8" t="inlineStr">
        <is>
          <t>Por hacer</t>
        </is>
      </c>
      <c r="H20" s="8" t="n"/>
    </row>
    <row r="21" ht="22" customHeight="1">
      <c r="A21" s="52" t="inlineStr">
        <is>
          <t>De 3 a 6 meses</t>
        </is>
      </c>
      <c r="B21" s="52" t="inlineStr">
        <is>
          <t>Diseñar invitaciones y señalética</t>
        </is>
      </c>
      <c r="C21" s="8" t="n"/>
      <c r="D21" s="18" t="n">
        <v>120</v>
      </c>
      <c r="E21" s="53">
        <f>IF(OR(FechaFiesta="",D21=""),"",FechaFiesta-D21)</f>
        <v/>
      </c>
      <c r="F21" s="8" t="inlineStr">
        <is>
          <t>Media</t>
        </is>
      </c>
      <c r="G21" s="8" t="inlineStr">
        <is>
          <t>Por hacer</t>
        </is>
      </c>
      <c r="H21" s="8" t="n"/>
    </row>
    <row r="22" ht="22" customHeight="1">
      <c r="A22" s="52" t="inlineStr">
        <is>
          <t>De 3 a 6 meses</t>
        </is>
      </c>
      <c r="B22" s="52" t="inlineStr">
        <is>
          <t>Definir alojamiento para quien viene de fuera</t>
        </is>
      </c>
      <c r="C22" s="8" t="n"/>
      <c r="D22" s="18" t="n">
        <v>120</v>
      </c>
      <c r="E22" s="53">
        <f>IF(OR(FechaFiesta="",D22=""),"",FechaFiesta-D22)</f>
        <v/>
      </c>
      <c r="F22" s="8" t="inlineStr">
        <is>
          <t>Baja</t>
        </is>
      </c>
      <c r="G22" s="8" t="inlineStr">
        <is>
          <t>Por hacer</t>
        </is>
      </c>
      <c r="H22" s="8" t="n"/>
    </row>
    <row r="23" ht="22" customHeight="1">
      <c r="A23" s="52" t="inlineStr">
        <is>
          <t>De 3 a 6 meses</t>
        </is>
      </c>
      <c r="B23" s="52" t="inlineStr">
        <is>
          <t>Armar el primer plan de mesas</t>
        </is>
      </c>
      <c r="C23" s="8" t="n"/>
      <c r="D23" s="18" t="n">
        <v>100</v>
      </c>
      <c r="E23" s="53">
        <f>IF(OR(FechaFiesta="",D23=""),"",FechaFiesta-D23)</f>
        <v/>
      </c>
      <c r="F23" s="8" t="inlineStr">
        <is>
          <t>Media</t>
        </is>
      </c>
      <c r="G23" s="8" t="inlineStr">
        <is>
          <t>Por hacer</t>
        </is>
      </c>
      <c r="H23" s="8" t="n"/>
    </row>
    <row r="24" ht="22" customHeight="1">
      <c r="A24" s="54" t="inlineStr">
        <is>
          <t>De 1 a 3 meses</t>
        </is>
      </c>
      <c r="B24" s="54" t="inlineStr">
        <is>
          <t>Enviar las invitaciones</t>
        </is>
      </c>
      <c r="C24" s="8" t="n"/>
      <c r="D24" s="18" t="n">
        <v>75</v>
      </c>
      <c r="E24" s="53">
        <f>IF(OR(FechaFiesta="",D24=""),"",FechaFiesta-D24)</f>
        <v/>
      </c>
      <c r="F24" s="8" t="inlineStr">
        <is>
          <t>Alta</t>
        </is>
      </c>
      <c r="G24" s="8" t="inlineStr">
        <is>
          <t>Por hacer</t>
        </is>
      </c>
      <c r="H24" s="8" t="n"/>
    </row>
    <row r="25" ht="22" customHeight="1">
      <c r="A25" s="54" t="inlineStr">
        <is>
          <t>De 1 a 3 meses</t>
        </is>
      </c>
      <c r="B25" s="54" t="inlineStr">
        <is>
          <t>Confirmar horarios con cada proveedor</t>
        </is>
      </c>
      <c r="C25" s="8" t="n"/>
      <c r="D25" s="18" t="n">
        <v>60</v>
      </c>
      <c r="E25" s="53">
        <f>IF(OR(FechaFiesta="",D25=""),"",FechaFiesta-D25)</f>
        <v/>
      </c>
      <c r="F25" s="8" t="inlineStr">
        <is>
          <t>Alta</t>
        </is>
      </c>
      <c r="G25" s="8" t="inlineStr">
        <is>
          <t>Por hacer</t>
        </is>
      </c>
      <c r="H25" s="8" t="n"/>
    </row>
    <row r="26" ht="22" customHeight="1">
      <c r="A26" s="54" t="inlineStr">
        <is>
          <t>De 1 a 3 meses</t>
        </is>
      </c>
      <c r="B26" s="54" t="inlineStr">
        <is>
          <t>Hacer la prueba de maquillaje y peinado</t>
        </is>
      </c>
      <c r="C26" s="8" t="n"/>
      <c r="D26" s="18" t="n">
        <v>45</v>
      </c>
      <c r="E26" s="53">
        <f>IF(OR(FechaFiesta="",D26=""),"",FechaFiesta-D26)</f>
        <v/>
      </c>
      <c r="F26" s="8" t="inlineStr">
        <is>
          <t>Media</t>
        </is>
      </c>
      <c r="G26" s="8" t="inlineStr">
        <is>
          <t>Por hacer</t>
        </is>
      </c>
      <c r="H26" s="8" t="n"/>
    </row>
    <row r="27" ht="22" customHeight="1">
      <c r="A27" s="54" t="inlineStr">
        <is>
          <t>De 1 a 3 meses</t>
        </is>
      </c>
      <c r="B27" s="54" t="inlineStr">
        <is>
          <t>Elegir la playlist y el orden de momentos</t>
        </is>
      </c>
      <c r="C27" s="8" t="n"/>
      <c r="D27" s="18" t="n">
        <v>45</v>
      </c>
      <c r="E27" s="53">
        <f>IF(OR(FechaFiesta="",D27=""),"",FechaFiesta-D27)</f>
        <v/>
      </c>
      <c r="F27" s="8" t="inlineStr">
        <is>
          <t>Media</t>
        </is>
      </c>
      <c r="G27" s="8" t="inlineStr">
        <is>
          <t>Por hacer</t>
        </is>
      </c>
      <c r="H27" s="8" t="n"/>
    </row>
    <row r="28" ht="22" customHeight="1">
      <c r="A28" s="54" t="inlineStr">
        <is>
          <t>De 1 a 3 meses</t>
        </is>
      </c>
      <c r="B28" s="54" t="inlineStr">
        <is>
          <t>Comprar detalles y separar propinas</t>
        </is>
      </c>
      <c r="C28" s="8" t="n"/>
      <c r="D28" s="18" t="n">
        <v>40</v>
      </c>
      <c r="E28" s="53">
        <f>IF(OR(FechaFiesta="",D28=""),"",FechaFiesta-D28)</f>
        <v/>
      </c>
      <c r="F28" s="8" t="inlineStr">
        <is>
          <t>Baja</t>
        </is>
      </c>
      <c r="G28" s="8" t="inlineStr">
        <is>
          <t>Por hacer</t>
        </is>
      </c>
      <c r="H28" s="8" t="n"/>
    </row>
    <row r="29" ht="22" customHeight="1">
      <c r="A29" s="52" t="inlineStr">
        <is>
          <t>Último mes</t>
        </is>
      </c>
      <c r="B29" s="52" t="inlineStr">
        <is>
          <t>Cerrar las respuestas de la lista</t>
        </is>
      </c>
      <c r="C29" s="8" t="n"/>
      <c r="D29" s="18" t="n">
        <v>30</v>
      </c>
      <c r="E29" s="53">
        <f>IF(OR(FechaFiesta="",D29=""),"",FechaFiesta-D29)</f>
        <v/>
      </c>
      <c r="F29" s="8" t="inlineStr">
        <is>
          <t>Alta</t>
        </is>
      </c>
      <c r="G29" s="8" t="inlineStr">
        <is>
          <t>Por hacer</t>
        </is>
      </c>
      <c r="H29" s="8" t="n"/>
    </row>
    <row r="30" ht="22" customHeight="1">
      <c r="A30" s="52" t="inlineStr">
        <is>
          <t>Último mes</t>
        </is>
      </c>
      <c r="B30" s="52" t="inlineStr">
        <is>
          <t>Pasar el número final al banquete</t>
        </is>
      </c>
      <c r="C30" s="8" t="n"/>
      <c r="D30" s="18" t="n">
        <v>21</v>
      </c>
      <c r="E30" s="53">
        <f>IF(OR(FechaFiesta="",D30=""),"",FechaFiesta-D30)</f>
        <v/>
      </c>
      <c r="F30" s="8" t="inlineStr">
        <is>
          <t>Alta</t>
        </is>
      </c>
      <c r="G30" s="8" t="inlineStr">
        <is>
          <t>Por hacer</t>
        </is>
      </c>
      <c r="H30" s="8" t="n"/>
    </row>
    <row r="31" ht="22" customHeight="1">
      <c r="A31" s="52" t="inlineStr">
        <is>
          <t>Último mes</t>
        </is>
      </c>
      <c r="B31" s="52" t="inlineStr">
        <is>
          <t>Revisar saldos y fechas de pago</t>
        </is>
      </c>
      <c r="C31" s="8" t="n"/>
      <c r="D31" s="18" t="n">
        <v>21</v>
      </c>
      <c r="E31" s="53">
        <f>IF(OR(FechaFiesta="",D31=""),"",FechaFiesta-D31)</f>
        <v/>
      </c>
      <c r="F31" s="8" t="inlineStr">
        <is>
          <t>Alta</t>
        </is>
      </c>
      <c r="G31" s="8" t="inlineStr">
        <is>
          <t>Por hacer</t>
        </is>
      </c>
      <c r="H31" s="8" t="n"/>
    </row>
    <row r="32" ht="22" customHeight="1">
      <c r="A32" s="52" t="inlineStr">
        <is>
          <t>Último mes</t>
        </is>
      </c>
      <c r="B32" s="52" t="inlineStr">
        <is>
          <t>Confirmar el transporte</t>
        </is>
      </c>
      <c r="C32" s="8" t="n"/>
      <c r="D32" s="18" t="n">
        <v>14</v>
      </c>
      <c r="E32" s="53">
        <f>IF(OR(FechaFiesta="",D32=""),"",FechaFiesta-D32)</f>
        <v/>
      </c>
      <c r="F32" s="8" t="inlineStr">
        <is>
          <t>Media</t>
        </is>
      </c>
      <c r="G32" s="8" t="inlineStr">
        <is>
          <t>Por hacer</t>
        </is>
      </c>
      <c r="H32" s="8" t="n"/>
    </row>
    <row r="33" ht="22" customHeight="1">
      <c r="A33" s="52" t="inlineStr">
        <is>
          <t>Último mes</t>
        </is>
      </c>
      <c r="B33" s="52" t="inlineStr">
        <is>
          <t>Cerrar el plano de mesas</t>
        </is>
      </c>
      <c r="C33" s="8" t="n"/>
      <c r="D33" s="18" t="n">
        <v>14</v>
      </c>
      <c r="E33" s="53">
        <f>IF(OR(FechaFiesta="",D33=""),"",FechaFiesta-D33)</f>
        <v/>
      </c>
      <c r="F33" s="8" t="inlineStr">
        <is>
          <t>Alta</t>
        </is>
      </c>
      <c r="G33" s="8" t="inlineStr">
        <is>
          <t>Por hacer</t>
        </is>
      </c>
      <c r="H33" s="8" t="n"/>
    </row>
    <row r="34" ht="22" customHeight="1">
      <c r="A34" s="52" t="inlineStr">
        <is>
          <t>Último mes</t>
        </is>
      </c>
      <c r="B34" s="52" t="inlineStr">
        <is>
          <t>Imprimir menús, lugares y horario</t>
        </is>
      </c>
      <c r="C34" s="8" t="n"/>
      <c r="D34" s="18" t="n">
        <v>10</v>
      </c>
      <c r="E34" s="53">
        <f>IF(OR(FechaFiesta="",D34=""),"",FechaFiesta-D34)</f>
        <v/>
      </c>
      <c r="F34" s="8" t="inlineStr">
        <is>
          <t>Media</t>
        </is>
      </c>
      <c r="G34" s="8" t="inlineStr">
        <is>
          <t>Por hacer</t>
        </is>
      </c>
      <c r="H34" s="8" t="n"/>
    </row>
    <row r="35" ht="22" customHeight="1">
      <c r="A35" s="52" t="inlineStr">
        <is>
          <t>Último mes</t>
        </is>
      </c>
      <c r="B35" s="52" t="inlineStr">
        <is>
          <t>Recorrer el lugar o hacer un ensayo</t>
        </is>
      </c>
      <c r="C35" s="8" t="n"/>
      <c r="D35" s="18" t="n">
        <v>7</v>
      </c>
      <c r="E35" s="53">
        <f>IF(OR(FechaFiesta="",D35=""),"",FechaFiesta-D35)</f>
        <v/>
      </c>
      <c r="F35" s="8" t="inlineStr">
        <is>
          <t>Media</t>
        </is>
      </c>
      <c r="G35" s="8" t="inlineStr">
        <is>
          <t>Por hacer</t>
        </is>
      </c>
      <c r="H35" s="8" t="n"/>
    </row>
    <row r="36" ht="22" customHeight="1">
      <c r="A36" s="54" t="inlineStr">
        <is>
          <t>Semana de la fiesta</t>
        </is>
      </c>
      <c r="B36" s="54" t="inlineStr">
        <is>
          <t>Confirmar el horario final con cada proveedor</t>
        </is>
      </c>
      <c r="C36" s="8" t="n"/>
      <c r="D36" s="18" t="n">
        <v>5</v>
      </c>
      <c r="E36" s="53">
        <f>IF(OR(FechaFiesta="",D36=""),"",FechaFiesta-D36)</f>
        <v/>
      </c>
      <c r="F36" s="8" t="inlineStr">
        <is>
          <t>Alta</t>
        </is>
      </c>
      <c r="G36" s="8" t="inlineStr">
        <is>
          <t>Por hacer</t>
        </is>
      </c>
      <c r="H36" s="8" t="n"/>
    </row>
    <row r="37" ht="22" customHeight="1">
      <c r="A37" s="54" t="inlineStr">
        <is>
          <t>Semana de la fiesta</t>
        </is>
      </c>
      <c r="B37" s="54" t="inlineStr">
        <is>
          <t>Preparar el kit de emergencia</t>
        </is>
      </c>
      <c r="C37" s="8" t="n"/>
      <c r="D37" s="18" t="n">
        <v>4</v>
      </c>
      <c r="E37" s="53">
        <f>IF(OR(FechaFiesta="",D37=""),"",FechaFiesta-D37)</f>
        <v/>
      </c>
      <c r="F37" s="8" t="inlineStr">
        <is>
          <t>Media</t>
        </is>
      </c>
      <c r="G37" s="8" t="inlineStr">
        <is>
          <t>Por hacer</t>
        </is>
      </c>
      <c r="H37" s="8" t="n"/>
    </row>
    <row r="38" ht="22" customHeight="1">
      <c r="A38" s="54" t="inlineStr">
        <is>
          <t>Semana de la fiesta</t>
        </is>
      </c>
      <c r="B38" s="54" t="inlineStr">
        <is>
          <t>Entregar el horario a quien coordina</t>
        </is>
      </c>
      <c r="C38" s="8" t="n"/>
      <c r="D38" s="18" t="n">
        <v>2</v>
      </c>
      <c r="E38" s="53">
        <f>IF(OR(FechaFiesta="",D38=""),"",FechaFiesta-D38)</f>
        <v/>
      </c>
      <c r="F38" s="8" t="inlineStr">
        <is>
          <t>Alta</t>
        </is>
      </c>
      <c r="G38" s="8" t="inlineStr">
        <is>
          <t>Por hacer</t>
        </is>
      </c>
      <c r="H38" s="8" t="n"/>
    </row>
    <row r="39" ht="22" customHeight="1">
      <c r="A39" s="54" t="inlineStr">
        <is>
          <t>Semana de la fiesta</t>
        </is>
      </c>
      <c r="B39" s="54" t="inlineStr">
        <is>
          <t>Separar pagos, propinas y documentos</t>
        </is>
      </c>
      <c r="C39" s="8" t="n"/>
      <c r="D39" s="18" t="n">
        <v>1</v>
      </c>
      <c r="E39" s="53">
        <f>IF(OR(FechaFiesta="",D39=""),"",FechaFiesta-D39)</f>
        <v/>
      </c>
      <c r="F39" s="8" t="inlineStr">
        <is>
          <t>Alta</t>
        </is>
      </c>
      <c r="G39" s="8" t="inlineStr">
        <is>
          <t>Por hacer</t>
        </is>
      </c>
      <c r="H39" s="8" t="n"/>
    </row>
    <row r="40" ht="22" customHeight="1">
      <c r="A40" s="52" t="inlineStr">
        <is>
          <t>El día</t>
        </is>
      </c>
      <c r="B40" s="52" t="inlineStr">
        <is>
          <t>Nombrar a quien resuelve imprevistos</t>
        </is>
      </c>
      <c r="C40" s="8" t="n"/>
      <c r="D40" s="18" t="n">
        <v>0</v>
      </c>
      <c r="E40" s="53">
        <f>IF(OR(FechaFiesta="",D40=""),"",FechaFiesta-D40)</f>
        <v/>
      </c>
      <c r="F40" s="8" t="inlineStr">
        <is>
          <t>Alta</t>
        </is>
      </c>
      <c r="G40" s="8" t="inlineStr">
        <is>
          <t>Por hacer</t>
        </is>
      </c>
      <c r="H40" s="8" t="n"/>
    </row>
    <row r="41" ht="22" customHeight="1">
      <c r="A41" s="52" t="inlineStr">
        <is>
          <t>El día</t>
        </is>
      </c>
      <c r="B41" s="52" t="inlineStr">
        <is>
          <t>Comer algo antes de recibir invitados</t>
        </is>
      </c>
      <c r="C41" s="8" t="n"/>
      <c r="D41" s="18" t="n">
        <v>0</v>
      </c>
      <c r="E41" s="53">
        <f>IF(OR(FechaFiesta="",D41=""),"",FechaFiesta-D41)</f>
        <v/>
      </c>
      <c r="F41" s="8" t="inlineStr">
        <is>
          <t>Media</t>
        </is>
      </c>
      <c r="G41" s="8" t="inlineStr">
        <is>
          <t>Por hacer</t>
        </is>
      </c>
      <c r="H41" s="8" t="n"/>
    </row>
    <row r="42" ht="22" customHeight="1">
      <c r="A42" s="8" t="n"/>
      <c r="B42" s="8" t="n"/>
      <c r="C42" s="8" t="n"/>
      <c r="D42" s="18" t="n"/>
      <c r="E42" s="53">
        <f>IF(OR(FechaFiesta="",D42=""),"",FechaFiesta-D42)</f>
        <v/>
      </c>
      <c r="F42" s="8" t="n"/>
      <c r="G42" s="8" t="n"/>
      <c r="H42" s="8" t="n"/>
    </row>
    <row r="43" ht="22" customHeight="1">
      <c r="A43" s="8" t="n"/>
      <c r="B43" s="8" t="n"/>
      <c r="C43" s="8" t="n"/>
      <c r="D43" s="18" t="n"/>
      <c r="E43" s="53">
        <f>IF(OR(FechaFiesta="",D43=""),"",FechaFiesta-D43)</f>
        <v/>
      </c>
      <c r="F43" s="8" t="n"/>
      <c r="G43" s="8" t="n"/>
      <c r="H43" s="8" t="n"/>
    </row>
    <row r="44" ht="22" customHeight="1">
      <c r="A44" s="8" t="n"/>
      <c r="B44" s="8" t="n"/>
      <c r="C44" s="8" t="n"/>
      <c r="D44" s="18" t="n"/>
      <c r="E44" s="53">
        <f>IF(OR(FechaFiesta="",D44=""),"",FechaFiesta-D44)</f>
        <v/>
      </c>
      <c r="F44" s="8" t="n"/>
      <c r="G44" s="8" t="n"/>
      <c r="H44" s="8" t="n"/>
    </row>
    <row r="45" ht="22" customHeight="1">
      <c r="A45" s="8" t="n"/>
      <c r="B45" s="8" t="n"/>
      <c r="C45" s="8" t="n"/>
      <c r="D45" s="18" t="n"/>
      <c r="E45" s="53">
        <f>IF(OR(FechaFiesta="",D45=""),"",FechaFiesta-D45)</f>
        <v/>
      </c>
      <c r="F45" s="8" t="n"/>
      <c r="G45" s="8" t="n"/>
      <c r="H45" s="8" t="n"/>
    </row>
    <row r="46" ht="22" customHeight="1">
      <c r="A46" s="8" t="n"/>
      <c r="B46" s="8" t="n"/>
      <c r="C46" s="8" t="n"/>
      <c r="D46" s="18" t="n"/>
      <c r="E46" s="53">
        <f>IF(OR(FechaFiesta="",D46=""),"",FechaFiesta-D46)</f>
        <v/>
      </c>
      <c r="F46" s="8" t="n"/>
      <c r="G46" s="8" t="n"/>
      <c r="H46" s="8" t="n"/>
    </row>
    <row r="47" ht="22" customHeight="1">
      <c r="A47" s="8" t="n"/>
      <c r="B47" s="8" t="n"/>
      <c r="C47" s="8" t="n"/>
      <c r="D47" s="18" t="n"/>
      <c r="E47" s="53">
        <f>IF(OR(FechaFiesta="",D47=""),"",FechaFiesta-D47)</f>
        <v/>
      </c>
      <c r="F47" s="8" t="n"/>
      <c r="G47" s="8" t="n"/>
      <c r="H47" s="8" t="n"/>
    </row>
    <row r="48" ht="22" customHeight="1">
      <c r="A48" s="8" t="n"/>
      <c r="B48" s="8" t="n"/>
      <c r="C48" s="8" t="n"/>
      <c r="D48" s="18" t="n"/>
      <c r="E48" s="53">
        <f>IF(OR(FechaFiesta="",D48=""),"",FechaFiesta-D48)</f>
        <v/>
      </c>
      <c r="F48" s="8" t="n"/>
      <c r="G48" s="8" t="n"/>
      <c r="H48" s="8" t="n"/>
    </row>
    <row r="49" ht="22" customHeight="1">
      <c r="A49" s="8" t="n"/>
      <c r="B49" s="8" t="n"/>
      <c r="C49" s="8" t="n"/>
      <c r="D49" s="18" t="n"/>
      <c r="E49" s="53">
        <f>IF(OR(FechaFiesta="",D49=""),"",FechaFiesta-D49)</f>
        <v/>
      </c>
      <c r="F49" s="8" t="n"/>
      <c r="G49" s="8" t="n"/>
      <c r="H49" s="8" t="n"/>
    </row>
  </sheetData>
  <autoFilter ref="A7:H49"/>
  <mergeCells count="2">
    <mergeCell ref="A2:H2"/>
    <mergeCell ref="A1:H1"/>
  </mergeCells>
  <conditionalFormatting sqref="G8:G49">
    <cfRule type="expression" priority="1" dxfId="7">
      <formula>G8="Hecho"</formula>
    </cfRule>
    <cfRule type="expression" priority="2" dxfId="8">
      <formula>G8="En curso"</formula>
    </cfRule>
    <cfRule type="expression" priority="3" dxfId="12">
      <formula>G8="Por hacer"</formula>
    </cfRule>
  </conditionalFormatting>
  <conditionalFormatting sqref="F8:F49">
    <cfRule type="expression" priority="4" dxfId="10">
      <formula>F8="Alta"</formula>
    </cfRule>
    <cfRule type="expression" priority="5" dxfId="8">
      <formula>F8="Media"</formula>
    </cfRule>
    <cfRule type="expression" priority="6" dxfId="7">
      <formula>F8="Baja"</formula>
    </cfRule>
  </conditionalFormatting>
  <conditionalFormatting sqref="E8:E49">
    <cfRule type="expression" priority="7" dxfId="10">
      <formula>AND(E8&lt;&gt;"",E8&lt;TODAY(),G8&lt;&gt;"Hecho")</formula>
    </cfRule>
    <cfRule type="expression" priority="8" dxfId="8">
      <formula>AND(E8&lt;&gt;"",E8&gt;=TODAY(),E8&lt;=TODAY()+14,G8&lt;&gt;"Hecho")</formula>
    </cfRule>
  </conditionalFormatting>
  <dataValidations count="3">
    <dataValidation sqref="F8:F49" showDropDown="0" showInputMessage="0" showErrorMessage="1" allowBlank="1" errorTitle="Elige una opción" error="Elige Alta, Media o Baja." type="list">
      <formula1>=Listas!$I$2:$I$4</formula1>
    </dataValidation>
    <dataValidation sqref="G8:G49" showDropDown="0" showInputMessage="0" showErrorMessage="1" allowBlank="1" errorTitle="Elige una opción" error="Elige Por hacer, En curso o Hecho." type="list">
      <formula1>=Listas!$H$2:$H$4</formula1>
    </dataValidation>
    <dataValidation sqref="D8:D49" showDropDown="0" showInputMessage="0" showErrorMessage="1" allowBlank="1" errorTitle="Revisa el número" error="Escribe cuántos días antes de la fiesta vence la tarea." type="whole" operator="greaterThanOrEqual">
      <formula1>0</formula1>
    </dataValidation>
  </dataValidations>
  <printOptions horizontalCentered="1"/>
  <pageMargins left="0.5" right="0.5" top="0.55" bottom="0.5" header="0.2" footer="0.25"/>
  <pageSetup orientation="landscape" paperSize="9" fitToHeight="0" fitToWidth="1"/>
  <headerFooter>
    <oddHeader/>
    <oddFooter>&amp;LPlan de la fiesta de boda&amp;RPágina &amp;P de &amp;N</oddFooter>
    <evenHeader/>
    <evenFooter/>
    <firstHeader/>
    <firstFooter/>
  </headerFooter>
</worksheet>
</file>

<file path=xl/worksheets/sheet8.xml><?xml version="1.0" encoding="utf-8"?>
<worksheet xmlns="http://schemas.openxmlformats.org/spreadsheetml/2006/main">
  <sheetPr>
    <tabColor rgb="006B2D3C"/>
    <outlinePr summaryBelow="1" summaryRight="1"/>
    <pageSetUpPr fitToPage="1"/>
  </sheetPr>
  <dimension ref="A1:H23"/>
  <sheetViews>
    <sheetView showGridLines="0" zoomScale="110" workbookViewId="0">
      <pane ySplit="7" topLeftCell="A8" activePane="bottomLeft" state="frozen"/>
      <selection pane="bottomLeft" activeCell="A1" sqref="A1"/>
    </sheetView>
  </sheetViews>
  <sheetFormatPr baseColWidth="8" defaultRowHeight="18"/>
  <cols>
    <col width="14" customWidth="1" min="1" max="1"/>
    <col width="36" customWidth="1" min="2" max="2"/>
    <col width="12" customWidth="1" min="3" max="3"/>
    <col width="14" customWidth="1" min="4" max="4"/>
    <col width="24" customWidth="1" min="5" max="5"/>
    <col width="28" customWidth="1" min="6" max="6"/>
    <col width="12" customWidth="1" min="7" max="7"/>
    <col width="36" customWidth="1" min="8" max="8"/>
  </cols>
  <sheetData>
    <row r="1" ht="36" customHeight="1">
      <c r="A1" s="1" t="inlineStr">
        <is>
          <t>Horario de la fiesta</t>
        </is>
      </c>
      <c r="B1" s="2" t="n"/>
      <c r="C1" s="2" t="n"/>
      <c r="D1" s="2" t="n"/>
      <c r="E1" s="2" t="n"/>
      <c r="F1" s="2" t="n"/>
      <c r="G1" s="2" t="n"/>
      <c r="H1" s="2" t="n"/>
    </row>
    <row r="2" ht="34" customHeight="1">
      <c r="A2" s="3" t="inlineStr">
        <is>
          <t>Cambia la hora de inicio y los minutos. Termina se calcula sola. Las horas de inicio no se empujan entre sí: si mueves una, revisa la siguiente. Listo sirve para ir marcando el día.</t>
        </is>
      </c>
      <c r="B2" s="4" t="n"/>
      <c r="C2" s="4" t="n"/>
      <c r="D2" s="4" t="n"/>
      <c r="E2" s="4" t="n"/>
      <c r="F2" s="4" t="n"/>
      <c r="G2" s="4" t="n"/>
      <c r="H2" s="4" t="n"/>
    </row>
    <row r="3" ht="10" customHeight="1"/>
    <row r="7" ht="32" customHeight="1">
      <c r="A7" s="39" t="inlineStr">
        <is>
          <t>Empieza</t>
        </is>
      </c>
      <c r="B7" s="39" t="inlineStr">
        <is>
          <t>Momento</t>
        </is>
      </c>
      <c r="C7" s="39" t="inlineStr">
        <is>
          <t>Minutos</t>
        </is>
      </c>
      <c r="D7" s="39" t="inlineStr">
        <is>
          <t>Termina</t>
        </is>
      </c>
      <c r="E7" s="39" t="inlineStr">
        <is>
          <t>Quién lo cuida</t>
        </is>
      </c>
      <c r="F7" s="39" t="inlineStr">
        <is>
          <t>Lugar</t>
        </is>
      </c>
      <c r="G7" s="39" t="inlineStr">
        <is>
          <t>Listo</t>
        </is>
      </c>
      <c r="H7" s="39" t="inlineStr">
        <is>
          <t>Notas</t>
        </is>
      </c>
    </row>
    <row r="8" ht="22" customHeight="1">
      <c r="A8" s="16" t="n">
        <v>0.625</v>
      </c>
      <c r="B8" s="8" t="inlineStr">
        <is>
          <t>Llegan los invitados</t>
        </is>
      </c>
      <c r="C8" s="18" t="n">
        <v>30</v>
      </c>
      <c r="D8" s="55">
        <f>IF(OR(A8="",C8=""),"",A8+C8/1440)</f>
        <v/>
      </c>
      <c r="E8" s="8" t="n"/>
      <c r="F8" s="8" t="n"/>
      <c r="G8" s="56" t="n"/>
      <c r="H8" s="8" t="n"/>
    </row>
    <row r="9" ht="22" customHeight="1">
      <c r="A9" s="16" t="n">
        <v>0.6458333333333334</v>
      </c>
      <c r="B9" s="8" t="inlineStr">
        <is>
          <t>Ceremonia</t>
        </is>
      </c>
      <c r="C9" s="18" t="n">
        <v>40</v>
      </c>
      <c r="D9" s="55">
        <f>IF(OR(A9="",C9=""),"",A9+C9/1440)</f>
        <v/>
      </c>
      <c r="E9" s="8" t="n"/>
      <c r="F9" s="8" t="n"/>
      <c r="G9" s="56" t="n"/>
      <c r="H9" s="8" t="n"/>
    </row>
    <row r="10" ht="22" customHeight="1">
      <c r="A10" s="16" t="n">
        <v>0.6736111111111112</v>
      </c>
      <c r="B10" s="8" t="inlineStr">
        <is>
          <t>Fotos y cóctel</t>
        </is>
      </c>
      <c r="C10" s="18" t="n">
        <v>80</v>
      </c>
      <c r="D10" s="55">
        <f>IF(OR(A10="",C10=""),"",A10+C10/1440)</f>
        <v/>
      </c>
      <c r="E10" s="8" t="n"/>
      <c r="F10" s="8" t="n"/>
      <c r="G10" s="56" t="n"/>
      <c r="H10" s="8" t="n"/>
    </row>
    <row r="11" ht="22" customHeight="1">
      <c r="A11" s="16" t="n">
        <v>0.7291666666666666</v>
      </c>
      <c r="B11" s="8" t="inlineStr">
        <is>
          <t>Entrada a la fiesta</t>
        </is>
      </c>
      <c r="C11" s="18" t="n">
        <v>15</v>
      </c>
      <c r="D11" s="55">
        <f>IF(OR(A11="",C11=""),"",A11+C11/1440)</f>
        <v/>
      </c>
      <c r="E11" s="8" t="n"/>
      <c r="F11" s="8" t="n"/>
      <c r="G11" s="56" t="n"/>
      <c r="H11" s="8" t="n"/>
    </row>
    <row r="12" ht="22" customHeight="1">
      <c r="A12" s="16" t="n">
        <v>0.7395833333333334</v>
      </c>
      <c r="B12" s="8" t="inlineStr">
        <is>
          <t>Brindis</t>
        </is>
      </c>
      <c r="C12" s="18" t="n">
        <v>15</v>
      </c>
      <c r="D12" s="55">
        <f>IF(OR(A12="",C12=""),"",A12+C12/1440)</f>
        <v/>
      </c>
      <c r="E12" s="8" t="n"/>
      <c r="F12" s="8" t="n"/>
      <c r="G12" s="56" t="n"/>
      <c r="H12" s="8" t="n"/>
    </row>
    <row r="13" ht="22" customHeight="1">
      <c r="A13" s="16" t="n">
        <v>0.75</v>
      </c>
      <c r="B13" s="8" t="inlineStr">
        <is>
          <t>Cena</t>
        </is>
      </c>
      <c r="C13" s="18" t="n">
        <v>75</v>
      </c>
      <c r="D13" s="55">
        <f>IF(OR(A13="",C13=""),"",A13+C13/1440)</f>
        <v/>
      </c>
      <c r="E13" s="8" t="n"/>
      <c r="F13" s="8" t="n"/>
      <c r="G13" s="56" t="n"/>
      <c r="H13" s="8" t="n"/>
    </row>
    <row r="14" ht="22" customHeight="1">
      <c r="A14" s="16" t="n">
        <v>0.8020833333333334</v>
      </c>
      <c r="B14" s="8" t="inlineStr">
        <is>
          <t>Pastel y baile de apertura</t>
        </is>
      </c>
      <c r="C14" s="18" t="n">
        <v>25</v>
      </c>
      <c r="D14" s="55">
        <f>IF(OR(A14="",C14=""),"",A14+C14/1440)</f>
        <v/>
      </c>
      <c r="E14" s="8" t="n"/>
      <c r="F14" s="8" t="n"/>
      <c r="G14" s="56" t="n"/>
      <c r="H14" s="8" t="n"/>
    </row>
    <row r="15" ht="22" customHeight="1">
      <c r="A15" s="16" t="n">
        <v>0.8194444444444444</v>
      </c>
      <c r="B15" s="8" t="inlineStr">
        <is>
          <t>Baile</t>
        </is>
      </c>
      <c r="C15" s="18" t="n">
        <v>90</v>
      </c>
      <c r="D15" s="55">
        <f>IF(OR(A15="",C15=""),"",A15+C15/1440)</f>
        <v/>
      </c>
      <c r="E15" s="8" t="n"/>
      <c r="F15" s="8" t="n"/>
      <c r="G15" s="56" t="n"/>
      <c r="H15" s="8" t="n"/>
    </row>
    <row r="16" ht="22" customHeight="1">
      <c r="A16" s="16" t="n">
        <v>0.8819444444444444</v>
      </c>
      <c r="B16" s="8" t="inlineStr">
        <is>
          <t>Hora loca</t>
        </is>
      </c>
      <c r="C16" s="18" t="n">
        <v>50</v>
      </c>
      <c r="D16" s="55">
        <f>IF(OR(A16="",C16=""),"",A16+C16/1440)</f>
        <v/>
      </c>
      <c r="E16" s="8" t="n"/>
      <c r="F16" s="8" t="n"/>
      <c r="G16" s="56" t="n"/>
      <c r="H16" s="8" t="n"/>
    </row>
    <row r="17" ht="22" customHeight="1">
      <c r="A17" s="16" t="n">
        <v>0.9166666666666666</v>
      </c>
      <c r="B17" s="8" t="inlineStr">
        <is>
          <t>Cierre y despedida</t>
        </is>
      </c>
      <c r="C17" s="18" t="n">
        <v>30</v>
      </c>
      <c r="D17" s="55">
        <f>IF(OR(A17="",C17=""),"",A17+C17/1440)</f>
        <v/>
      </c>
      <c r="E17" s="8" t="n"/>
      <c r="F17" s="8" t="n"/>
      <c r="G17" s="56" t="n"/>
      <c r="H17" s="8" t="n"/>
    </row>
    <row r="18" ht="22" customHeight="1">
      <c r="A18" s="16" t="n"/>
      <c r="B18" s="8" t="n"/>
      <c r="C18" s="18" t="n"/>
      <c r="D18" s="55">
        <f>IF(OR(A18="",C18=""),"",A18+C18/1440)</f>
        <v/>
      </c>
      <c r="E18" s="8" t="n"/>
      <c r="F18" s="8" t="n"/>
      <c r="G18" s="56" t="n"/>
      <c r="H18" s="8" t="n"/>
    </row>
    <row r="19" ht="22" customHeight="1">
      <c r="A19" s="16" t="n"/>
      <c r="B19" s="8" t="n"/>
      <c r="C19" s="18" t="n"/>
      <c r="D19" s="55">
        <f>IF(OR(A19="",C19=""),"",A19+C19/1440)</f>
        <v/>
      </c>
      <c r="E19" s="8" t="n"/>
      <c r="F19" s="8" t="n"/>
      <c r="G19" s="56" t="n"/>
      <c r="H19" s="8" t="n"/>
    </row>
    <row r="20" ht="22" customHeight="1">
      <c r="A20" s="16" t="n"/>
      <c r="B20" s="8" t="n"/>
      <c r="C20" s="18" t="n"/>
      <c r="D20" s="55">
        <f>IF(OR(A20="",C20=""),"",A20+C20/1440)</f>
        <v/>
      </c>
      <c r="E20" s="8" t="n"/>
      <c r="F20" s="8" t="n"/>
      <c r="G20" s="56" t="n"/>
      <c r="H20" s="8" t="n"/>
    </row>
    <row r="21" ht="22" customHeight="1">
      <c r="A21" s="16" t="n"/>
      <c r="B21" s="8" t="n"/>
      <c r="C21" s="18" t="n"/>
      <c r="D21" s="55">
        <f>IF(OR(A21="",C21=""),"",A21+C21/1440)</f>
        <v/>
      </c>
      <c r="E21" s="8" t="n"/>
      <c r="F21" s="8" t="n"/>
      <c r="G21" s="56" t="n"/>
      <c r="H21" s="8" t="n"/>
    </row>
    <row r="22" ht="22" customHeight="1">
      <c r="A22" s="16" t="n"/>
      <c r="B22" s="8" t="n"/>
      <c r="C22" s="18" t="n"/>
      <c r="D22" s="55">
        <f>IF(OR(A22="",C22=""),"",A22+C22/1440)</f>
        <v/>
      </c>
      <c r="E22" s="8" t="n"/>
      <c r="F22" s="8" t="n"/>
      <c r="G22" s="56" t="n"/>
      <c r="H22" s="8" t="n"/>
    </row>
    <row r="23" ht="22" customHeight="1">
      <c r="A23" s="16" t="n"/>
      <c r="B23" s="8" t="n"/>
      <c r="C23" s="18" t="n"/>
      <c r="D23" s="55">
        <f>IF(OR(A23="",C23=""),"",A23+C23/1440)</f>
        <v/>
      </c>
      <c r="E23" s="8" t="n"/>
      <c r="F23" s="8" t="n"/>
      <c r="G23" s="56" t="n"/>
      <c r="H23" s="8" t="n"/>
    </row>
  </sheetData>
  <autoFilter ref="A7:H23"/>
  <mergeCells count="2">
    <mergeCell ref="A2:H2"/>
    <mergeCell ref="A1:H1"/>
  </mergeCells>
  <conditionalFormatting sqref="G8:G23">
    <cfRule type="expression" priority="1" dxfId="7">
      <formula>G8="Sí"</formula>
    </cfRule>
  </conditionalFormatting>
  <dataValidations count="2">
    <dataValidation sqref="G8:G23" showDropDown="0" showInputMessage="0" showErrorMessage="1" allowBlank="1" errorTitle="Elige una opción" error="Elige Sí cuando ese momento ya pasó." type="list">
      <formula1>=Listas!$J$2:$J$3</formula1>
    </dataValidation>
    <dataValidation sqref="C8:C23" showDropDown="0" showInputMessage="0" showErrorMessage="1" allowBlank="1" errorTitle="Revisa el número" error="Escribe la duración en minutos." type="whole" operator="greaterThanOrEqual">
      <formula1>0</formula1>
    </dataValidation>
  </dataValidations>
  <printOptions horizontalCentered="1"/>
  <pageMargins left="0.5" right="0.5" top="0.55" bottom="0.5" header="0.2" footer="0.25"/>
  <pageSetup orientation="landscape" paperSize="9" fitToHeight="0" fitToWidth="1"/>
  <headerFooter>
    <oddHeader/>
    <oddFooter>&amp;LPlan de la fiesta de boda&amp;RPágina &amp;P de &amp;N</oddFooter>
    <evenHeader/>
    <evenFooter/>
    <firstHeader/>
    <firstFooter/>
  </headerFooter>
</worksheet>
</file>

<file path=xl/worksheets/sheet9.xml><?xml version="1.0" encoding="utf-8"?>
<worksheet xmlns="http://schemas.openxmlformats.org/spreadsheetml/2006/main">
  <sheetPr>
    <tabColor rgb="008C6A3D"/>
    <outlinePr summaryBelow="1" summaryRight="1"/>
    <pageSetUpPr fitToPage="1"/>
  </sheetPr>
  <dimension ref="A1:A26"/>
  <sheetViews>
    <sheetView showGridLines="0" zoomScale="120" workbookViewId="0">
      <selection activeCell="A1" sqref="A1"/>
    </sheetView>
  </sheetViews>
  <sheetFormatPr baseColWidth="8" defaultRowHeight="18"/>
  <cols>
    <col width="118" customWidth="1" min="1" max="1"/>
  </cols>
  <sheetData>
    <row r="1" ht="36" customHeight="1">
      <c r="A1" s="1" t="inlineStr">
        <is>
          <t>Cómo usar este plan</t>
        </is>
      </c>
    </row>
    <row r="2" ht="22" customHeight="1">
      <c r="A2" s="3" t="inlineStr">
        <is>
          <t>Ocho hojas para armar la fiesta. Los números se calculan; las celdas claras son las que se llenan.</t>
        </is>
      </c>
    </row>
    <row r="3" ht="10" customHeight="1"/>
    <row r="4" ht="24" customHeight="1">
      <c r="A4" s="57" t="inlineStr">
        <is>
          <t>Empieza en Inicio</t>
        </is>
      </c>
    </row>
    <row r="5" ht="66" customHeight="1">
      <c r="A5" s="58" t="inlineStr">
        <is>
          <t>Escribe la pareja, la fecha, los invitados que esperas y el presupuesto. La moneda es una etiqueta: los números no se convierten. La reserva aparta un porcentaje del presupuesto, 10% al abrir el archivo. Días restantes usa la fecha de la fiesta.</t>
        </is>
      </c>
    </row>
    <row r="7" ht="24" customHeight="1">
      <c r="A7" s="57" t="inlineStr">
        <is>
          <t>Presupuesto</t>
        </is>
      </c>
    </row>
    <row r="8" ht="82" customHeight="1">
      <c r="A8" s="58" t="inlineStr">
        <is>
          <t>Cada fila es un gasto. Si Por persona está en Sí y Ajuste está vacío, la cantidad son los invitados previstos. Estimado es cantidad por costo unitario. Si escribes Contratado, el saldo usa ese monto; si no, usa el estimado. Pagado es lo que ya entregaste. Una fecha de pago en los próximos 14 días se marca en ámbar, y en rojo si ya venció y todavía hay saldo.</t>
        </is>
      </c>
    </row>
    <row r="10" ht="24" customHeight="1">
      <c r="A10" s="57" t="inlineStr">
        <is>
          <t>Invitados</t>
        </is>
      </c>
    </row>
    <row r="11" ht="82" customHeight="1">
      <c r="A11" s="58" t="inlineStr">
        <is>
          <t>Hay cuatro filas de ejemplo. Bórralas antes de usar la lista de verdad. Adultos más niños es el total de esa fila. Asisten copia el total solo cuando el RSVP es Confirmado. La lista cuadra cuando todas las personas tienen RSVP. El filtro de la primera fila sirve para ver, por ejemplo, solo pendientes.</t>
        </is>
      </c>
    </row>
    <row r="13" ht="24" customHeight="1">
      <c r="A13" s="57" t="inlineStr">
        <is>
          <t>Mesas</t>
        </is>
      </c>
    </row>
    <row r="14" ht="66" customHeight="1">
      <c r="A14" s="58" t="inlineStr">
        <is>
          <t>Numera las mesas y escribe su capacidad. En Invitados elige ese número. Apartados suma a quien no ha rechazado, para no soltar el lugar demasiado pronto. Confirmados cuenta solo los sí. Si Libres sale negativo, esa mesa está por encima de su capacidad.</t>
        </is>
      </c>
    </row>
    <row r="16" ht="24" customHeight="1">
      <c r="A16" s="57" t="inlineStr">
        <is>
          <t>Menú</t>
        </is>
      </c>
    </row>
    <row r="17" ht="66" customHeight="1">
      <c r="A17" s="58" t="inlineStr">
        <is>
          <t>Define qué se sirve en cada momento. Las porciones siguen a las personas confirmadas y, si aún no hay, a los invitados previstos. A la derecha está el conteo por tipo de menú. Comida, barra y pastel se pagan en Presupuesto, para no sumar dos veces el mismo gasto.</t>
        </is>
      </c>
    </row>
    <row r="19" ht="24" customHeight="1">
      <c r="A19" s="57" t="inlineStr">
        <is>
          <t>Proveedores</t>
        </is>
      </c>
    </row>
    <row r="20" ht="66" customHeight="1">
      <c r="A20" s="58" t="inlineStr">
        <is>
          <t>Puedes tener varias cotizaciones de la misma categoría y marcar Descartado o Contratado. El saldo es la cotización menos lo pagado. Si solo registraste el anticipo, se resta el anticipo. Cuando elijas un proveedor, pasa ese monto a Presupuesto.</t>
        </is>
      </c>
    </row>
    <row r="22" ht="24" customHeight="1">
      <c r="A22" s="57" t="inlineStr">
        <is>
          <t>Tareas y horario</t>
        </is>
      </c>
    </row>
    <row r="23" ht="66" customHeight="1">
      <c r="A23" s="58" t="inlineStr">
        <is>
          <t>Cambia Días antes si tu calendario es distinto: la fecha límite se mueve sola en cuanto Inicio tiene fecha. En el horario, Termina suma los minutos a la hora de inicio. Listo es la marca para el día de la fiesta. Si alargas un momento, la siguiente hora no se corre sola.</t>
        </is>
      </c>
    </row>
    <row r="25" ht="24" customHeight="1">
      <c r="A25" s="57" t="inlineStr">
        <is>
          <t>Más filas</t>
        </is>
      </c>
    </row>
    <row r="26" ht="50" customHeight="1">
      <c r="A26" s="58" t="inlineStr">
        <is>
          <t>Cada hoja trae filas vacías con fórmulas. Cuando se acaben, copia la última fila y pégala debajo. En Excel también puedes insertar una fila en medio de la lista: las sumas se ajustan.</t>
        </is>
      </c>
    </row>
  </sheetData>
  <mergeCells count="2">
    <mergeCell ref="A2"/>
    <mergeCell ref="A1"/>
  </mergeCells>
  <printOptions horizontalCentered="1"/>
  <pageMargins left="0.5" right="0.5" top="0.55" bottom="0.5" header="0.2" footer="0.25"/>
  <pageSetup orientation="portrait" paperSize="9" fitToHeight="0" fitToWidth="1"/>
  <headerFooter>
    <oddHeader/>
    <oddFooter>&amp;LPlan de la fiesta de boda&amp;RPágina &amp;P de &amp;N</oddFooter>
    <evenHeader/>
    <evenFooter/>
    <firstHeader/>
    <firstFooter/>
  </headerFooter>
</worksheet>
</file>

<file path=xl/worksheets/sheet10.xml><?xml version="1.0" encoding="utf-8"?>
<worksheet xmlns="http://schemas.openxmlformats.org/spreadsheetml/2006/main">
  <sheetPr>
    <tabColor rgb="00C8BDB4"/>
    <outlinePr summaryBelow="1" summaryRight="1"/>
    <pageSetUpPr/>
  </sheetPr>
  <dimension ref="A1:K21"/>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59" t="inlineStr">
        <is>
          <t>Estas listas alimentan los menús desplegables. No hace falta editar esta hoja.</t>
        </is>
      </c>
      <c r="B1" s="59" t="n"/>
      <c r="C1" s="59" t="n"/>
      <c r="D1" s="59" t="n"/>
      <c r="E1" s="59" t="n"/>
      <c r="F1" s="59" t="n"/>
      <c r="G1" s="59" t="n"/>
      <c r="H1" s="59" t="n"/>
      <c r="I1" s="59" t="n"/>
      <c r="J1" s="59" t="n"/>
      <c r="K1" s="59" t="n"/>
    </row>
    <row r="2">
      <c r="A2" s="60" t="inlineStr">
        <is>
          <t>Lugar</t>
        </is>
      </c>
      <c r="B2" s="60" t="inlineStr">
        <is>
          <t>Pendiente</t>
        </is>
      </c>
      <c r="C2" s="60" t="inlineStr">
        <is>
          <t>Novia</t>
        </is>
      </c>
      <c r="D2" s="60" t="inlineStr">
        <is>
          <t>No enviada</t>
        </is>
      </c>
      <c r="E2" s="60" t="inlineStr">
        <is>
          <t>Estándar</t>
        </is>
      </c>
      <c r="F2" s="60" t="inlineStr">
        <is>
          <t>Por cotizar</t>
        </is>
      </c>
      <c r="G2" s="60" t="inlineStr">
        <is>
          <t>Por contactar</t>
        </is>
      </c>
      <c r="H2" s="60" t="inlineStr">
        <is>
          <t>Por hacer</t>
        </is>
      </c>
      <c r="I2" s="60" t="inlineStr">
        <is>
          <t>Alta</t>
        </is>
      </c>
      <c r="J2" s="60" t="inlineStr">
        <is>
          <t>Sí</t>
        </is>
      </c>
      <c r="K2" s="60" t="n">
        <v>1</v>
      </c>
    </row>
    <row r="3">
      <c r="A3" s="60" t="inlineStr">
        <is>
          <t>Banquete</t>
        </is>
      </c>
      <c r="B3" s="60" t="inlineStr">
        <is>
          <t>Confirmado</t>
        </is>
      </c>
      <c r="C3" s="60" t="inlineStr">
        <is>
          <t>Novio</t>
        </is>
      </c>
      <c r="D3" s="60" t="inlineStr">
        <is>
          <t>Enviada</t>
        </is>
      </c>
      <c r="E3" s="60" t="inlineStr">
        <is>
          <t>Vegetariano</t>
        </is>
      </c>
      <c r="F3" s="60" t="inlineStr">
        <is>
          <t>Cotizado</t>
        </is>
      </c>
      <c r="G3" s="60" t="inlineStr">
        <is>
          <t>En conversación</t>
        </is>
      </c>
      <c r="H3" s="60" t="inlineStr">
        <is>
          <t>En curso</t>
        </is>
      </c>
      <c r="I3" s="60" t="inlineStr">
        <is>
          <t>Media</t>
        </is>
      </c>
      <c r="J3" s="60" t="inlineStr">
        <is>
          <t>No</t>
        </is>
      </c>
      <c r="K3" s="60" t="n">
        <v>2</v>
      </c>
    </row>
    <row r="4">
      <c r="A4" s="60" t="inlineStr">
        <is>
          <t>Bebidas</t>
        </is>
      </c>
      <c r="B4" s="60" t="inlineStr">
        <is>
          <t>Rechazado</t>
        </is>
      </c>
      <c r="C4" s="60" t="inlineStr">
        <is>
          <t>Ambos</t>
        </is>
      </c>
      <c r="D4" s="60" t="inlineStr">
        <is>
          <t>Entregada</t>
        </is>
      </c>
      <c r="E4" s="60" t="inlineStr">
        <is>
          <t>Vegano</t>
        </is>
      </c>
      <c r="F4" s="60" t="inlineStr">
        <is>
          <t>Apartado</t>
        </is>
      </c>
      <c r="G4" s="60" t="inlineStr">
        <is>
          <t>Cotizado</t>
        </is>
      </c>
      <c r="H4" s="60" t="inlineStr">
        <is>
          <t>Hecho</t>
        </is>
      </c>
      <c r="I4" s="60" t="inlineStr">
        <is>
          <t>Baja</t>
        </is>
      </c>
      <c r="K4" s="60" t="n">
        <v>3</v>
      </c>
    </row>
    <row r="5">
      <c r="A5" s="60" t="inlineStr">
        <is>
          <t>Pastel</t>
        </is>
      </c>
      <c r="C5" s="60" t="inlineStr">
        <is>
          <t>Otro</t>
        </is>
      </c>
      <c r="E5" s="60" t="inlineStr">
        <is>
          <t>Sin gluten</t>
        </is>
      </c>
      <c r="F5" s="60" t="inlineStr">
        <is>
          <t>Contratado</t>
        </is>
      </c>
      <c r="G5" s="60" t="inlineStr">
        <is>
          <t>Contratado</t>
        </is>
      </c>
      <c r="K5" s="60" t="n">
        <v>4</v>
      </c>
    </row>
    <row r="6">
      <c r="A6" s="60" t="inlineStr">
        <is>
          <t>Música</t>
        </is>
      </c>
      <c r="E6" s="60" t="inlineStr">
        <is>
          <t>Infantil</t>
        </is>
      </c>
      <c r="F6" s="60" t="inlineStr">
        <is>
          <t>Pagado parcial</t>
        </is>
      </c>
      <c r="G6" s="60" t="inlineStr">
        <is>
          <t>Descartado</t>
        </is>
      </c>
      <c r="K6" s="60" t="n">
        <v>5</v>
      </c>
    </row>
    <row r="7">
      <c r="A7" s="60" t="inlineStr">
        <is>
          <t>Foto y video</t>
        </is>
      </c>
      <c r="E7" s="60" t="inlineStr">
        <is>
          <t>Otro</t>
        </is>
      </c>
      <c r="F7" s="60" t="inlineStr">
        <is>
          <t>Pagado</t>
        </is>
      </c>
      <c r="K7" s="60" t="n">
        <v>6</v>
      </c>
    </row>
    <row r="8">
      <c r="A8" s="60" t="inlineStr">
        <is>
          <t>Flores y decoración</t>
        </is>
      </c>
      <c r="F8" s="60" t="inlineStr">
        <is>
          <t>Cancelado</t>
        </is>
      </c>
      <c r="K8" s="60" t="n">
        <v>7</v>
      </c>
    </row>
    <row r="9">
      <c r="A9" s="60" t="inlineStr">
        <is>
          <t>Invitaciones</t>
        </is>
      </c>
      <c r="K9" s="60" t="n">
        <v>8</v>
      </c>
    </row>
    <row r="10">
      <c r="A10" s="60" t="inlineStr">
        <is>
          <t>Vestuario</t>
        </is>
      </c>
      <c r="K10" s="60" t="n">
        <v>9</v>
      </c>
    </row>
    <row r="11">
      <c r="A11" s="60" t="inlineStr">
        <is>
          <t>Belleza</t>
        </is>
      </c>
      <c r="K11" s="60" t="n">
        <v>10</v>
      </c>
    </row>
    <row r="12">
      <c r="A12" s="60" t="inlineStr">
        <is>
          <t>Transporte</t>
        </is>
      </c>
      <c r="K12" s="60" t="n">
        <v>11</v>
      </c>
    </row>
    <row r="13">
      <c r="A13" s="60" t="inlineStr">
        <is>
          <t>Mobiliario</t>
        </is>
      </c>
      <c r="K13" s="60" t="n">
        <v>12</v>
      </c>
    </row>
    <row r="14">
      <c r="A14" s="60" t="inlineStr">
        <is>
          <t>Recuerdos</t>
        </is>
      </c>
      <c r="K14" s="60" t="n">
        <v>13</v>
      </c>
    </row>
    <row r="15">
      <c r="A15" s="60" t="inlineStr">
        <is>
          <t>Coordinación</t>
        </is>
      </c>
      <c r="K15" s="60" t="n">
        <v>14</v>
      </c>
    </row>
    <row r="16">
      <c r="A16" s="60" t="inlineStr">
        <is>
          <t>Otra</t>
        </is>
      </c>
      <c r="K16" s="60" t="n">
        <v>15</v>
      </c>
    </row>
    <row r="17">
      <c r="K17" s="60" t="n">
        <v>16</v>
      </c>
    </row>
    <row r="18">
      <c r="K18" s="60" t="n">
        <v>17</v>
      </c>
    </row>
    <row r="19">
      <c r="K19" s="60" t="n">
        <v>18</v>
      </c>
    </row>
    <row r="20">
      <c r="K20" s="60" t="n">
        <v>19</v>
      </c>
    </row>
    <row r="21">
      <c r="K21" s="60"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Plan de la fiesta de boda</dc:creator>
  <dc:title>Plan de la fiesta de boda</dc:title>
  <dc:description>Hoja de cálculo para planificar una fiesta de boda.</dc:description>
  <dc:subject>Presupuesto, invitados, mesas, menú, proveedores y horario</dc:subject>
  <dcterms:created xsi:type="dcterms:W3CDTF">2026-10-15T02:04:18Z</dcterms:created>
  <dcterms:modified xsi:type="dcterms:W3CDTF">2026-10-15T02:04:19Z</dcterms:modified>
</cp:coreProperties>
</file>